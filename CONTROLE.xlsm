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Desktop\CASA DO GRANITO\ACOMPANHAMENTO-ARQUITETOS\"/>
    </mc:Choice>
  </mc:AlternateContent>
  <xr:revisionPtr revIDLastSave="0" documentId="13_ncr:1_{14D5FBAC-B171-41B3-ABB8-A4CFD96B7DAB}" xr6:coauthVersionLast="37" xr6:coauthVersionMax="47" xr10:uidLastSave="{00000000-0000-0000-0000-000000000000}"/>
  <bookViews>
    <workbookView xWindow="-120" yWindow="-120" windowWidth="29040" windowHeight="15720" tabRatio="0" firstSheet="1" activeTab="1" xr2:uid="{C8A6A2A4-98DD-4C9B-BBF9-0290A24D1B3A}"/>
  </bookViews>
  <sheets>
    <sheet name="CONFIGURACOES" sheetId="1" r:id="rId1"/>
    <sheet name="MENU PRINCIPAL" sheetId="2" r:id="rId2"/>
    <sheet name="ARQUITETO" sheetId="3" r:id="rId3"/>
  </sheets>
  <functionGroups builtInGroupCount="19"/>
  <definedNames>
    <definedName name="_xlnm.Print_Area" localSheetId="2">ARQUITETO!$A$1:$K$15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7" i="3" l="1"/>
  <c r="J17" i="3"/>
  <c r="F17" i="3"/>
  <c r="L6" i="2" l="1"/>
  <c r="E6" i="2" l="1"/>
  <c r="O17" i="3" l="1"/>
  <c r="N17" i="3"/>
  <c r="M17" i="3"/>
  <c r="H5" i="3" l="1"/>
  <c r="I5" i="3"/>
  <c r="G1" i="2"/>
  <c r="N1" i="2" s="1"/>
  <c r="I6" i="2" l="1"/>
  <c r="L1" i="2"/>
</calcChain>
</file>

<file path=xl/sharedStrings.xml><?xml version="1.0" encoding="utf-8"?>
<sst xmlns="http://schemas.openxmlformats.org/spreadsheetml/2006/main" count="54" uniqueCount="40">
  <si>
    <t>LOGRADOURO</t>
  </si>
  <si>
    <t>BAIRRO</t>
  </si>
  <si>
    <t>CIDADE</t>
  </si>
  <si>
    <t>UF</t>
  </si>
  <si>
    <t>ESCRITÓRIO</t>
  </si>
  <si>
    <t>ANIVERSÁRIO</t>
  </si>
  <si>
    <t>MARMOARIAS</t>
  </si>
  <si>
    <t>ÚLTIMO CONTATO</t>
  </si>
  <si>
    <t>CEP</t>
  </si>
  <si>
    <t>SIM</t>
  </si>
  <si>
    <t>PENDÊNCIA</t>
  </si>
  <si>
    <t>RETORNO</t>
  </si>
  <si>
    <t>DATA CONTATO</t>
  </si>
  <si>
    <t>DATA RETORNO</t>
  </si>
  <si>
    <t>VENDAS</t>
  </si>
  <si>
    <t>PONTUAÇÃO</t>
  </si>
  <si>
    <t>VENDA</t>
  </si>
  <si>
    <t>CONFIGURAÇÕES GERAIS</t>
  </si>
  <si>
    <t>MENU PRINCIPAL</t>
  </si>
  <si>
    <t>OBSERVAÇÃO GERAL</t>
  </si>
  <si>
    <t>RELATO CONTATO</t>
  </si>
  <si>
    <t>NÃO</t>
  </si>
  <si>
    <t>PENDENCIA</t>
  </si>
  <si>
    <t>COD</t>
  </si>
  <si>
    <t>ROMANEIO</t>
  </si>
  <si>
    <t>NOME</t>
  </si>
  <si>
    <t>COD CONTATO</t>
  </si>
  <si>
    <t>COD VENDA</t>
  </si>
  <si>
    <t>aux_data</t>
  </si>
  <si>
    <t>ALERTA PONTUAÇÃO</t>
  </si>
  <si>
    <t>OBSERVAÇÃO</t>
  </si>
  <si>
    <t>SELEÇÃO</t>
  </si>
  <si>
    <t>SELECIONAR</t>
  </si>
  <si>
    <t>aux_data_contato</t>
  </si>
  <si>
    <t>E-MAIL</t>
  </si>
  <si>
    <t>TELEFONE</t>
  </si>
  <si>
    <t>CPF</t>
  </si>
  <si>
    <t>CNPJ</t>
  </si>
  <si>
    <t>ALERTA ÚLTIMO CONTATO</t>
  </si>
  <si>
    <t>NOME DO ARQUITETO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</si>
</sst>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00000\-000"/>
    <numFmt numFmtId="166" formatCode="00\.000\.000\/0000\-00"/>
    <numFmt numFmtId="167" formatCode="000\.000\.000\-00"/>
    <numFmt numFmtId="168" formatCode="\(00\)&quot; &quot;0\.0000\-0000"/>
  </numFmts>
  <fonts count="13" x14ac:knownFonts="1">
    <font>
      <sz val="11"/>
      <color theme="1"/>
      <name val="Calibri"/>
      <family val="2"/>
      <scheme val="minor"/>
    </font>
    <font>
      <sz val="18"/>
      <color rgb="FF002060"/>
      <name val="Segoe UI"/>
      <family val="2"/>
    </font>
    <font>
      <sz val="18"/>
      <color theme="0"/>
      <name val="Segoe UI"/>
      <family val="2"/>
    </font>
    <font>
      <b/>
      <sz val="48"/>
      <color theme="0"/>
      <name val="Segoe UI"/>
      <family val="2"/>
    </font>
    <font>
      <b/>
      <sz val="18"/>
      <color theme="0"/>
      <name val="Segoe UI"/>
      <family val="2"/>
    </font>
    <font>
      <b/>
      <sz val="18"/>
      <color rgb="FFC00000"/>
      <name val="Segoe UI"/>
      <family val="2"/>
    </font>
    <font>
      <b/>
      <sz val="18"/>
      <color rgb="FF002060"/>
      <name val="Segoe UI"/>
      <family val="2"/>
    </font>
    <font>
      <sz val="12"/>
      <color rgb="FF002060"/>
      <name val="Segoe UI"/>
      <family val="2"/>
    </font>
    <font>
      <b/>
      <sz val="16"/>
      <color rgb="FF002060"/>
      <name val="Segoe UI"/>
      <family val="2"/>
    </font>
    <font>
      <b/>
      <sz val="14"/>
      <color rgb="FF002060"/>
      <name val="Segoe UI"/>
      <family val="2"/>
    </font>
    <font>
      <b/>
      <sz val="16"/>
      <color theme="0"/>
      <name val="Segoe UI"/>
      <family val="2"/>
    </font>
    <font>
      <i/>
      <u/>
      <sz val="18"/>
      <color rgb="FFFF0000"/>
      <name val="Segoe UI"/>
      <family val="2"/>
    </font>
    <font>
      <sz val="18"/>
      <color theme="4" tint="-0.499984740745262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40000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top"/>
    </xf>
    <xf numFmtId="0" fontId="1" fillId="0" borderId="0" xfId="0" applyFont="1" applyAlignment="1">
      <alignment horizontal="left" vertical="center"/>
    </xf>
    <xf numFmtId="16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2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vertical="center"/>
    </xf>
    <xf numFmtId="0" fontId="2" fillId="4" borderId="2" xfId="0" applyFont="1" applyFill="1" applyBorder="1" applyAlignment="1">
      <alignment vertical="top" wrapText="1"/>
    </xf>
    <xf numFmtId="0" fontId="2" fillId="4" borderId="2" xfId="0" applyFont="1" applyFill="1" applyBorder="1" applyAlignment="1">
      <alignment vertical="top"/>
    </xf>
    <xf numFmtId="0" fontId="1" fillId="4" borderId="0" xfId="0" applyFont="1" applyFill="1" applyAlignment="1">
      <alignment vertical="center"/>
    </xf>
    <xf numFmtId="1" fontId="1" fillId="0" borderId="0" xfId="0" applyNumberFormat="1" applyFont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3" fontId="5" fillId="3" borderId="2" xfId="0" applyNumberFormat="1" applyFont="1" applyFill="1" applyBorder="1" applyAlignment="1">
      <alignment horizontal="center" vertical="center"/>
    </xf>
    <xf numFmtId="16" fontId="6" fillId="3" borderId="3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top"/>
    </xf>
    <xf numFmtId="16" fontId="2" fillId="4" borderId="2" xfId="0" applyNumberFormat="1" applyFont="1" applyFill="1" applyBorder="1" applyAlignment="1">
      <alignment vertical="top"/>
    </xf>
    <xf numFmtId="0" fontId="9" fillId="0" borderId="0" xfId="0" applyFont="1" applyAlignment="1">
      <alignment horizontal="center" vertical="center"/>
    </xf>
    <xf numFmtId="3" fontId="1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4" fillId="2" borderId="0" xfId="0" applyNumberFormat="1" applyFont="1" applyFill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6" fontId="6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4" borderId="0" xfId="0" applyFont="1" applyFill="1" applyAlignment="1">
      <alignment horizontal="center" vertical="top" wrapText="1"/>
    </xf>
    <xf numFmtId="14" fontId="1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12" fillId="2" borderId="0" xfId="0" applyNumberFormat="1" applyFont="1" applyFill="1" applyAlignment="1">
      <alignment vertical="center"/>
    </xf>
    <xf numFmtId="165" fontId="6" fillId="3" borderId="3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/>
    </xf>
    <xf numFmtId="0" fontId="8" fillId="3" borderId="0" xfId="0" applyFont="1" applyFill="1" applyAlignment="1">
      <alignment vertical="center"/>
    </xf>
    <xf numFmtId="0" fontId="4" fillId="2" borderId="2" xfId="0" applyFont="1" applyFill="1" applyBorder="1" applyAlignment="1">
      <alignment horizontal="left" vertical="center" wrapText="1"/>
    </xf>
    <xf numFmtId="16" fontId="6" fillId="3" borderId="3" xfId="0" applyNumberFormat="1" applyFont="1" applyFill="1" applyBorder="1" applyAlignment="1">
      <alignment horizontal="left" vertical="center"/>
    </xf>
    <xf numFmtId="14" fontId="6" fillId="3" borderId="2" xfId="0" applyNumberFormat="1" applyFont="1" applyFill="1" applyBorder="1" applyAlignment="1">
      <alignment horizontal="left" vertical="center"/>
    </xf>
    <xf numFmtId="166" fontId="8" fillId="3" borderId="2" xfId="0" applyNumberFormat="1" applyFont="1" applyFill="1" applyBorder="1" applyAlignment="1">
      <alignment horizontal="left" vertical="center"/>
    </xf>
    <xf numFmtId="167" fontId="8" fillId="3" borderId="1" xfId="0" applyNumberFormat="1" applyFont="1" applyFill="1" applyBorder="1" applyAlignment="1">
      <alignment horizontal="left" vertical="center"/>
    </xf>
    <xf numFmtId="3" fontId="1" fillId="3" borderId="2" xfId="0" applyNumberFormat="1" applyFont="1" applyFill="1" applyBorder="1" applyAlignment="1">
      <alignment horizontal="center" vertical="center"/>
    </xf>
    <xf numFmtId="14" fontId="8" fillId="3" borderId="2" xfId="0" quotePrefix="1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0" fillId="2" borderId="0" xfId="0" applyNumberFormat="1" applyFont="1" applyFill="1" applyAlignment="1">
      <alignment horizontal="right" vertical="center"/>
    </xf>
    <xf numFmtId="0" fontId="8" fillId="3" borderId="2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168" fontId="8" fillId="3" borderId="2" xfId="0" applyNumberFormat="1" applyFont="1" applyFill="1" applyBorder="1" applyAlignment="1">
      <alignment horizontal="left" vertical="center"/>
    </xf>
    <xf numFmtId="168" fontId="8" fillId="3" borderId="1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6" fillId="3" borderId="0" xfId="0" applyFont="1" applyFill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</cellXfs>
  <cellStyles count="1">
    <cellStyle name="Normal" xfId="0" builtinId="0"/>
  </cellStyles>
  <dxfs count="61"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9" tint="-0.499984740745262"/>
      </font>
      <fill>
        <patternFill>
          <bgColor theme="9" tint="0.39994506668294322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color theme="0"/>
      </font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fill>
        <patternFill patternType="solid">
          <fgColor indexed="64"/>
          <bgColor rgb="FFB40000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fill>
        <patternFill patternType="solid">
          <fgColor indexed="64"/>
          <bgColor rgb="FFB40000"/>
        </patternFill>
      </fill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/>
        <vertAlign val="baseline"/>
        <sz val="18"/>
        <color rgb="FFFF000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fgColor theme="0"/>
          <bgColor theme="4" tint="-0.499984740745262"/>
        </patternFill>
      </fill>
      <border>
        <left style="thin">
          <color auto="1"/>
        </left>
        <right style="thin">
          <color auto="1"/>
        </right>
      </border>
    </dxf>
  </dxfs>
  <tableStyles count="1" defaultTableStyle="TableStyleMedium2" defaultPivotStyle="PivotStyleLight16">
    <tableStyle name="CONTATO_ARQUITETO" pivot="0" count="3" xr9:uid="{BB2BF78B-6C9A-4671-AA00-AA44706B6683}">
      <tableStyleElement type="headerRow" dxfId="60"/>
      <tableStyleElement type="firstRowStripe" dxfId="59"/>
      <tableStyleElement type="secondRowStripe" dxfId="58"/>
    </tableStyle>
  </tableStyles>
  <colors>
    <mruColors>
      <color rgb="FFB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ARQUITETO!A1"/><Relationship Id="rId1" Type="http://schemas.openxmlformats.org/officeDocument/2006/relationships/hyperlink" Target="#CONFIGURACOES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457200</xdr:colOff>
      <xdr:row>0</xdr:row>
      <xdr:rowOff>158969</xdr:rowOff>
    </xdr:from>
    <xdr:to>
      <xdr:col>26</xdr:col>
      <xdr:colOff>217200</xdr:colOff>
      <xdr:row>0</xdr:row>
      <xdr:rowOff>698969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48625" y="158969"/>
          <a:ext cx="2808000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  <a:r>
            <a:rPr lang="pt-BR" sz="2400" b="1" baseline="0">
              <a:latin typeface="Segoe UI" panose="020B0502040204020203" pitchFamily="34" charset="0"/>
              <a:cs typeface="Segoe UI" panose="020B0502040204020203" pitchFamily="34" charset="0"/>
            </a:rPr>
            <a:t>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5362575</xdr:colOff>
      <xdr:row>0</xdr:row>
      <xdr:rowOff>174915</xdr:rowOff>
    </xdr:from>
    <xdr:to>
      <xdr:col>5</xdr:col>
      <xdr:colOff>398175</xdr:colOff>
      <xdr:row>0</xdr:row>
      <xdr:rowOff>714915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76875" y="174915"/>
          <a:ext cx="2808000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CONFIGURAÇÕES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0</xdr:col>
      <xdr:colOff>114299</xdr:colOff>
      <xdr:row>2</xdr:row>
      <xdr:rowOff>47625</xdr:rowOff>
    </xdr:from>
    <xdr:to>
      <xdr:col>2</xdr:col>
      <xdr:colOff>1350674</xdr:colOff>
      <xdr:row>3</xdr:row>
      <xdr:rowOff>254250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4299" y="981075"/>
          <a:ext cx="1350675" cy="540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NOVO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1409700</xdr:colOff>
      <xdr:row>2</xdr:row>
      <xdr:rowOff>57150</xdr:rowOff>
    </xdr:from>
    <xdr:to>
      <xdr:col>2</xdr:col>
      <xdr:colOff>3286125</xdr:colOff>
      <xdr:row>3</xdr:row>
      <xdr:rowOff>263775</xdr:rowOff>
    </xdr:to>
    <xdr:sp macro="[0]!telaArquite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24000" y="990600"/>
          <a:ext cx="1876425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CADASTRO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73017</xdr:colOff>
      <xdr:row>0</xdr:row>
      <xdr:rowOff>152400</xdr:rowOff>
    </xdr:from>
    <xdr:to>
      <xdr:col>8</xdr:col>
      <xdr:colOff>1513650</xdr:colOff>
      <xdr:row>0</xdr:row>
      <xdr:rowOff>692400</xdr:rowOff>
    </xdr:to>
    <xdr:sp macro="[0]!telaMenu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672850" y="152400"/>
          <a:ext cx="2816467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  <a:r>
            <a:rPr lang="pt-BR" sz="2400" b="1" baseline="0">
              <a:latin typeface="Segoe UI" panose="020B0502040204020203" pitchFamily="34" charset="0"/>
              <a:cs typeface="Segoe UI" panose="020B0502040204020203" pitchFamily="34" charset="0"/>
            </a:rPr>
            <a:t>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6</xdr:col>
      <xdr:colOff>188382</xdr:colOff>
      <xdr:row>0</xdr:row>
      <xdr:rowOff>152400</xdr:rowOff>
    </xdr:from>
    <xdr:to>
      <xdr:col>6</xdr:col>
      <xdr:colOff>2196040</xdr:colOff>
      <xdr:row>0</xdr:row>
      <xdr:rowOff>692400</xdr:rowOff>
    </xdr:to>
    <xdr:sp macro="[0]!salvarArquite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555132" y="152400"/>
          <a:ext cx="2007658" cy="540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SALVAR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1</xdr:col>
      <xdr:colOff>1</xdr:colOff>
      <xdr:row>8</xdr:row>
      <xdr:rowOff>95251</xdr:rowOff>
    </xdr:from>
    <xdr:to>
      <xdr:col>1</xdr:col>
      <xdr:colOff>1276351</xdr:colOff>
      <xdr:row>9</xdr:row>
      <xdr:rowOff>313135</xdr:rowOff>
    </xdr:to>
    <xdr:sp macro="[0]!trocarFotoArquitet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3110" y="2613423"/>
          <a:ext cx="1276350" cy="34290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Segoe UI" panose="020B0502040204020203" pitchFamily="34" charset="0"/>
              <a:cs typeface="Segoe UI" panose="020B0502040204020203" pitchFamily="34" charset="0"/>
            </a:rPr>
            <a:t>TROCAR FOTO</a:t>
          </a:r>
        </a:p>
      </xdr:txBody>
    </xdr:sp>
    <xdr:clientData fPrintsWithSheet="0"/>
  </xdr:twoCellAnchor>
  <xdr:twoCellAnchor editAs="absolute">
    <xdr:from>
      <xdr:col>1</xdr:col>
      <xdr:colOff>4358</xdr:colOff>
      <xdr:row>10</xdr:row>
      <xdr:rowOff>15876</xdr:rowOff>
    </xdr:from>
    <xdr:to>
      <xdr:col>1</xdr:col>
      <xdr:colOff>1280708</xdr:colOff>
      <xdr:row>11</xdr:row>
      <xdr:rowOff>25402</xdr:rowOff>
    </xdr:to>
    <xdr:sp macro="[0]!salvarFotoArquitet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17467" y="2992439"/>
          <a:ext cx="1276350" cy="342901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Segoe UI" panose="020B0502040204020203" pitchFamily="34" charset="0"/>
              <a:cs typeface="Segoe UI" panose="020B0502040204020203" pitchFamily="34" charset="0"/>
            </a:rPr>
            <a:t>SALVAR FOTO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1</xdr:col>
          <xdr:colOff>1276350</xdr:colOff>
          <xdr:row>8</xdr:row>
          <xdr:rowOff>9525</xdr:rowOff>
        </xdr:to>
        <xdr:sp macro="" textlink="">
          <xdr:nvSpPr>
            <xdr:cNvPr id="3073" name="fotoArquitet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4BD7A7-491D-4368-A464-C127D11F8485}" name="VENDA" displayName="VENDA" ref="B4:B5" totalsRowShown="0" headerRowDxfId="57" dataDxfId="56">
  <autoFilter ref="B4:B5" xr:uid="{C92855F6-CF37-4A70-B067-A9A1EE829386}"/>
  <tableColumns count="1">
    <tableColumn id="1" xr3:uid="{D6431CEC-4602-46AE-B946-9616470B411C}" name="VENDA" dataDxfId="55"/>
  </tableColumns>
  <tableStyleInfo name="CONTATO_ARQUITETO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C1897C-27F6-4172-AB73-E29E4A76F986}" name="RETORNO" displayName="RETORNO" ref="D4:D6" totalsRowShown="0" headerRowDxfId="54" dataDxfId="53">
  <autoFilter ref="D4:D6" xr:uid="{83D23519-3D19-4BCF-82A3-7E3683D533EA}"/>
  <tableColumns count="1">
    <tableColumn id="1" xr3:uid="{15A257C2-8BCB-4EEC-9768-997DF9DC2D0E}" name="RETORNO" dataDxfId="52"/>
  </tableColumns>
  <tableStyleInfo name="CONTATO_ARQUITETO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656D95-8680-4EB3-BB5F-8120546B09C8}" name="PENDENCIA" displayName="PENDENCIA" ref="F4:F6" totalsRowShown="0" headerRowDxfId="51" dataDxfId="50">
  <autoFilter ref="F4:F6" xr:uid="{CCFF95B0-B3BD-4BE8-B33D-942C34304DAD}"/>
  <tableColumns count="1">
    <tableColumn id="1" xr3:uid="{7C010B9A-977B-4D3B-B29B-3B59154E8EBD}" name="PENDENCIA" dataDxfId="49"/>
  </tableColumns>
  <tableStyleInfo name="CONTATO_ARQUITETO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3EEFF-9339-4249-88CC-5090DA7085E6}" name="ALERTA_PONTUACAO" displayName="ALERTA_PONTUACAO" ref="H4:H6" totalsRowShown="0" headerRowDxfId="48" dataDxfId="47">
  <autoFilter ref="H4:H6" xr:uid="{86721D90-0B95-41BD-9A9E-023090120BBC}"/>
  <tableColumns count="1">
    <tableColumn id="1" xr3:uid="{EEC4B307-2428-4FA1-8048-D05F12727C71}" name="ALERTA PONTUAÇÃO" dataDxfId="46"/>
  </tableColumns>
  <tableStyleInfo name="CONTATO_ARQUITETO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40FEFD3-D163-43D7-A7C6-DDEE168D8914}" name="SELECAO" displayName="SELECAO" ref="J4:J5" totalsRowShown="0" headerRowDxfId="45" dataDxfId="44">
  <autoFilter ref="J4:J5" xr:uid="{9E993ACC-962B-47F3-9B29-3D35FA469646}"/>
  <tableColumns count="1">
    <tableColumn id="1" xr3:uid="{D997B094-03EB-4217-9846-E80ED927986A}" name="SELEÇÃO" dataDxfId="43"/>
  </tableColumns>
  <tableStyleInfo name="CONTATO_ARQUITETO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979395-E782-450C-814D-9775BC10DE58}" name="COD" displayName="COD" ref="L4:L5" totalsRowShown="0" headerRowDxfId="42" dataDxfId="41">
  <autoFilter ref="L4:L5" xr:uid="{CBA4CFD4-9922-4009-9375-37E8F9F70DC9}"/>
  <tableColumns count="1">
    <tableColumn id="1" xr3:uid="{1EADDC71-7591-4BFC-A245-7B3A403CB6C2}" name="COD" dataDxfId="40"/>
  </tableColumns>
  <tableStyleInfo name="CONTATO_ARQUITETO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6F53FB0-57A0-4B9D-BD3E-801277BFA83C}" name="ULTIMO_CONTATO" displayName="ULTIMO_CONTATO" ref="N4:N5" totalsRowShown="0" headerRowDxfId="39" dataDxfId="38">
  <autoFilter ref="N4:N5" xr:uid="{2EDF7F8D-00F3-4D87-A8E1-66C3A48E0529}"/>
  <tableColumns count="1">
    <tableColumn id="1" xr3:uid="{F7255F7C-BC71-4FA0-B8AB-FA5B65F9C0EF}" name="ALERTA ÚLTIMO CONTATO" dataDxfId="37"/>
  </tableColumns>
  <tableStyleInfo name="CONTATO_ARQUITETO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1F06E8C-DAF7-4C55-9656-FFF91D6DEC03}" name="MENU_PRINCIPAL" displayName="MENU_PRINCIPAL" ref="B5:L6" totalsRowShown="0" headerRowDxfId="36" dataDxfId="35">
  <autoFilter ref="B5:L6" xr:uid="{A04FDB65-1612-45FD-AF2B-D0999EEC5FBB}"/>
  <sortState ref="B6:L6">
    <sortCondition ref="C5:C6"/>
  </sortState>
  <tableColumns count="11">
    <tableColumn id="2" xr3:uid="{0BC4024C-3BEC-4A5C-975E-F30DC224D0B9}" name="COD" dataDxfId="34"/>
    <tableColumn id="3" xr3:uid="{F6B35D81-AAA6-4FAC-B771-3D8FB279621B}" name="NOME" dataDxfId="33"/>
    <tableColumn id="4" xr3:uid="{B468B0FE-973A-4715-9827-0B19B9785B8B}" name="ANIVERSÁRIO" dataDxfId="32"/>
    <tableColumn id="1" xr3:uid="{82BD992F-D55E-48CE-A6E7-84A79EE2915C}" name="aux_data" dataDxfId="31">
      <calculatedColumnFormula>TEXT($D6,"MMMM")</calculatedColumnFormula>
    </tableColumn>
    <tableColumn id="5" xr3:uid="{FAAA9B95-5A84-4E70-9EC9-C57F53B51D1C}" name="RETORNO" dataDxfId="30"/>
    <tableColumn id="6" xr3:uid="{1DBDB386-BEA6-4EC6-A81F-C5C04433E7A2}" name="PENDÊNCIA" dataDxfId="29"/>
    <tableColumn id="10" xr3:uid="{6EF6E8C2-2359-4990-A21F-14953D81D8D8}" name="ÚLTIMO CONTATO" dataDxfId="28"/>
    <tableColumn id="11" xr3:uid="{E305A3CF-203E-4FF2-BD2B-6162E6499BF5}" name="aux_data_contato" dataDxfId="27">
      <calculatedColumnFormula>IF($H6 = "",ULTIMO_CONTATO[ALERTA ÚLTIMO CONTATO]-1,$N$1-$H6)</calculatedColumnFormula>
    </tableColumn>
    <tableColumn id="7" xr3:uid="{116EE6B9-319C-465E-9B41-D936CE2B318F}" name="VENDAS" dataDxfId="26"/>
    <tableColumn id="8" xr3:uid="{8F74FCF9-FED0-4409-9777-104BE6918588}" name="PONTUAÇÃO" dataDxfId="25"/>
    <tableColumn id="9" xr3:uid="{E92418BC-ACCF-4516-9BF8-A2F601B57154}" name="SELEÇÃO" dataDxfId="24">
      <calculatedColumnFormula>SELECAO[SELEÇÃO]</calculatedColumnFormula>
    </tableColumn>
  </tableColumns>
  <tableStyleInfo name="CONTATO_ARQUITETO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0FBD73-AAC6-4FC7-80FF-C58467D93FE3}" name="CONTATOS" displayName="CONTATOS" ref="B16:F17" headerRowDxfId="23" dataDxfId="22">
  <autoFilter ref="B16:F17" xr:uid="{5CB8B624-EBA4-471F-AB1C-A72D5F1D1BA6}"/>
  <sortState ref="B13:E16">
    <sortCondition ref="B16"/>
  </sortState>
  <tableColumns count="5">
    <tableColumn id="1" xr3:uid="{63CDB37A-A05D-41F1-8B43-2FDD81648E3A}" name="DATA CONTATO" totalsRowLabel="Total" dataDxfId="11" totalsRowDxfId="21"/>
    <tableColumn id="2" xr3:uid="{3FF48F97-3C8A-40DD-BE74-2ADC4053A32F}" name="RELATO CONTATO" dataDxfId="10" totalsRowDxfId="20"/>
    <tableColumn id="3" xr3:uid="{CB2B0984-7342-4BBA-A76D-4ABC91A599C0}" name="DATA RETORNO" dataDxfId="9" totalsRowDxfId="19"/>
    <tableColumn id="4" xr3:uid="{46746B00-79D6-453F-810E-28BB36E7D84A}" name="OBSERVAÇÃO" dataDxfId="7" totalsRowDxfId="18"/>
    <tableColumn id="5" xr3:uid="{034EF637-9D57-4367-87F7-761DE477E4E1}" name="COD CONTATO" totalsRowFunction="sum" dataDxfId="8" totalsRowDxfId="17">
      <calculatedColumnFormula>COD[COD]</calculatedColumnFormula>
    </tableColumn>
  </tableColumns>
  <tableStyleInfo name="CONTATO_ARQUITETO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DF20FA-9D27-446B-B7D1-710BACA111F4}" name="VENDA_ARQUITETOS" displayName="VENDA_ARQUITETOS" ref="H16:K17" totalsRowShown="0" headerRowDxfId="16">
  <autoFilter ref="H16:K17" xr:uid="{CB9283FF-373F-4356-963E-D146639E6B6A}"/>
  <tableColumns count="4">
    <tableColumn id="1" xr3:uid="{5DA15518-4F54-437E-8064-B559734FD612}" name="ROMANEIO" dataDxfId="15"/>
    <tableColumn id="2" xr3:uid="{11F77619-52D6-4086-B100-A0DB5CFF69D1}" name="PONTUAÇÃO" dataDxfId="14"/>
    <tableColumn id="3" xr3:uid="{5FB268CF-D8E2-4F95-BAD6-595BBDE7BDD3}" name="VENDA" dataDxfId="13">
      <calculatedColumnFormula>$M$17</calculatedColumnFormula>
    </tableColumn>
    <tableColumn id="4" xr3:uid="{33936AD3-2049-41F0-8D14-62189EA3143D}" name="COD VENDA" dataDxfId="12">
      <calculatedColumnFormula>COD[COD]</calculatedColumnFormula>
    </tableColumn>
  </tableColumns>
  <tableStyleInfo name="CONTATO_ARQUITETO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a:spPr>
      <a:bodyPr vertOverflow="clip" horzOverflow="clip" rtlCol="0" anchor="ctr"/>
      <a:lstStyle>
        <a:defPPr algn="ctr">
          <a:defRPr sz="1200" b="1">
            <a:latin typeface="Segoe UI" panose="020B0502040204020203" pitchFamily="34" charset="0"/>
            <a:cs typeface="Segoe UI" panose="020B0502040204020203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544EC-08E0-4188-AEAC-118CAA5EC489}">
  <sheetPr codeName="PlanConfiguracoes"/>
  <dimension ref="B1:N6"/>
  <sheetViews>
    <sheetView showGridLines="0" zoomScaleNormal="100" workbookViewId="0"/>
  </sheetViews>
  <sheetFormatPr defaultRowHeight="26.25" x14ac:dyDescent="0.25"/>
  <cols>
    <col min="1" max="1" width="1.7109375" style="1" customWidth="1"/>
    <col min="2" max="2" width="14.140625" style="1" hidden="1" customWidth="1"/>
    <col min="3" max="3" width="1.7109375" style="1" hidden="1" customWidth="1"/>
    <col min="4" max="4" width="18.42578125" style="1" hidden="1" customWidth="1"/>
    <col min="5" max="5" width="1.7109375" style="1" hidden="1" customWidth="1"/>
    <col min="6" max="6" width="23.7109375" style="1" hidden="1" customWidth="1"/>
    <col min="7" max="7" width="1.7109375" style="1" hidden="1" customWidth="1"/>
    <col min="8" max="8" width="25.140625" style="1" customWidth="1"/>
    <col min="9" max="9" width="1.7109375" style="1" customWidth="1"/>
    <col min="10" max="10" width="21" style="1" hidden="1" customWidth="1"/>
    <col min="11" max="11" width="1.7109375" style="1" hidden="1" customWidth="1"/>
    <col min="12" max="12" width="10.28515625" style="1" hidden="1" customWidth="1"/>
    <col min="13" max="13" width="1.7109375" style="1" hidden="1" customWidth="1"/>
    <col min="14" max="14" width="28.7109375" style="1" customWidth="1"/>
    <col min="15" max="15" width="1.7109375" style="1" customWidth="1"/>
    <col min="16" max="16384" width="9.140625" style="1"/>
  </cols>
  <sheetData>
    <row r="1" spans="2:14" s="2" customFormat="1" ht="69" x14ac:dyDescent="0.25">
      <c r="B1" s="3"/>
      <c r="H1" s="3" t="s">
        <v>17</v>
      </c>
    </row>
    <row r="2" spans="2:14" s="22" customFormat="1" ht="5.0999999999999996" customHeight="1" x14ac:dyDescent="0.25"/>
    <row r="4" spans="2:14" ht="48.75" customHeight="1" x14ac:dyDescent="0.25">
      <c r="B4" s="10" t="s">
        <v>16</v>
      </c>
      <c r="D4" s="10" t="s">
        <v>11</v>
      </c>
      <c r="F4" s="10" t="s">
        <v>22</v>
      </c>
      <c r="H4" s="48" t="s">
        <v>29</v>
      </c>
      <c r="J4" s="33" t="s">
        <v>31</v>
      </c>
      <c r="L4" s="33" t="s">
        <v>23</v>
      </c>
      <c r="N4" s="48" t="s">
        <v>38</v>
      </c>
    </row>
    <row r="5" spans="2:14" x14ac:dyDescent="0.25">
      <c r="B5" s="13">
        <v>1</v>
      </c>
      <c r="D5" s="13" t="s">
        <v>9</v>
      </c>
      <c r="F5" s="13" t="s">
        <v>9</v>
      </c>
      <c r="H5" s="32">
        <v>60000</v>
      </c>
      <c r="J5" s="1" t="s">
        <v>32</v>
      </c>
      <c r="L5" s="13">
        <v>0</v>
      </c>
      <c r="N5" s="13">
        <v>15</v>
      </c>
    </row>
    <row r="6" spans="2:14" x14ac:dyDescent="0.25">
      <c r="D6" s="13" t="s">
        <v>21</v>
      </c>
      <c r="F6" s="13" t="s">
        <v>21</v>
      </c>
      <c r="H6" s="32">
        <v>45000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copies="4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E67CC-CF27-4008-8029-8B32705FC9F5}">
  <sheetPr codeName="PlanMenuPrincipal"/>
  <dimension ref="A1:P6"/>
  <sheetViews>
    <sheetView showGridLines="0" tabSelected="1" zoomScaleNormal="100" workbookViewId="0">
      <pane ySplit="5" topLeftCell="A6" activePane="bottomLeft" state="frozen"/>
      <selection pane="bottomLeft"/>
    </sheetView>
  </sheetViews>
  <sheetFormatPr defaultRowHeight="26.25" x14ac:dyDescent="0.25"/>
  <cols>
    <col min="1" max="1" width="1.7109375" style="1" customWidth="1"/>
    <col min="2" max="2" width="10.28515625" style="1" hidden="1" customWidth="1"/>
    <col min="3" max="3" width="89.5703125" style="1" bestFit="1" customWidth="1"/>
    <col min="4" max="4" width="27" style="1" customWidth="1"/>
    <col min="5" max="5" width="27" style="1" hidden="1" customWidth="1"/>
    <col min="6" max="6" width="20" style="1" customWidth="1"/>
    <col min="7" max="8" width="23" style="1" customWidth="1"/>
    <col min="9" max="9" width="17.28515625" style="1" hidden="1" customWidth="1"/>
    <col min="10" max="10" width="17.42578125" style="1" customWidth="1"/>
    <col min="11" max="11" width="24.85546875" style="1" customWidth="1"/>
    <col min="12" max="12" width="24.85546875" style="1" bestFit="1" customWidth="1"/>
    <col min="13" max="13" width="1.7109375" style="1" customWidth="1"/>
    <col min="14" max="14" width="19.28515625" style="1" bestFit="1" customWidth="1"/>
    <col min="15" max="15" width="9.140625" style="1"/>
    <col min="16" max="16" width="9.140625" style="1" customWidth="1"/>
    <col min="17" max="16384" width="9.140625" style="1"/>
  </cols>
  <sheetData>
    <row r="1" spans="1:16" s="35" customFormat="1" ht="69" x14ac:dyDescent="0.25">
      <c r="A1" s="3"/>
      <c r="B1" s="3"/>
      <c r="C1" s="3" t="s">
        <v>18</v>
      </c>
      <c r="D1" s="34"/>
      <c r="E1" s="34"/>
      <c r="F1" s="34"/>
      <c r="G1" s="59">
        <f ca="1">TODAY()</f>
        <v>45533</v>
      </c>
      <c r="H1" s="59"/>
      <c r="I1" s="59"/>
      <c r="J1" s="59"/>
      <c r="K1" s="59"/>
      <c r="L1" s="45" t="str">
        <f ca="1">TEXT(G1,"MMMM")</f>
        <v>agosto</v>
      </c>
      <c r="N1" s="45">
        <f ca="1">G1</f>
        <v>45533</v>
      </c>
      <c r="P1" s="36"/>
    </row>
    <row r="2" spans="1:16" s="22" customFormat="1" ht="5.0999999999999996" customHeight="1" x14ac:dyDescent="0.25"/>
    <row r="3" spans="1:16" x14ac:dyDescent="0.25">
      <c r="A3" s="33"/>
    </row>
    <row r="5" spans="1:16" ht="52.5" x14ac:dyDescent="0.25">
      <c r="B5" s="37" t="s">
        <v>23</v>
      </c>
      <c r="C5" s="38" t="s">
        <v>25</v>
      </c>
      <c r="D5" s="33" t="s">
        <v>5</v>
      </c>
      <c r="E5" s="43" t="s">
        <v>28</v>
      </c>
      <c r="F5" s="37" t="s">
        <v>11</v>
      </c>
      <c r="G5" s="37" t="s">
        <v>10</v>
      </c>
      <c r="H5" s="47" t="s">
        <v>7</v>
      </c>
      <c r="I5" s="47" t="s">
        <v>33</v>
      </c>
      <c r="J5" s="37" t="s">
        <v>14</v>
      </c>
      <c r="K5" s="37" t="s">
        <v>15</v>
      </c>
      <c r="L5" s="33" t="s">
        <v>31</v>
      </c>
    </row>
    <row r="6" spans="1:16" s="33" customFormat="1" x14ac:dyDescent="0.25">
      <c r="A6" s="1"/>
      <c r="B6" s="13">
        <v>0</v>
      </c>
      <c r="C6" s="1"/>
      <c r="D6" s="9"/>
      <c r="E6" s="9" t="str">
        <f t="shared" ref="E6" si="0">TEXT($D6,"MMMM")</f>
        <v>janeiro</v>
      </c>
      <c r="F6" s="13"/>
      <c r="G6" s="13"/>
      <c r="H6" s="9"/>
      <c r="I6" s="23">
        <f>IF($H6 = "",ULTIMO_CONTATO[ALERTA ÚLTIMO CONTATO]-1,$N$1-$H6)</f>
        <v>14</v>
      </c>
      <c r="J6" s="13"/>
      <c r="K6" s="32"/>
      <c r="L6" s="44" t="str">
        <f>SELECAO[SELEÇÃO]</f>
        <v>SELECIONAR</v>
      </c>
    </row>
  </sheetData>
  <mergeCells count="1">
    <mergeCell ref="G1:K1"/>
  </mergeCells>
  <conditionalFormatting sqref="D6">
    <cfRule type="expression" dxfId="6" priority="6">
      <formula>$E6=$L$1</formula>
    </cfRule>
  </conditionalFormatting>
  <conditionalFormatting sqref="B6:G6 J6:L6">
    <cfRule type="expression" dxfId="5" priority="7" stopIfTrue="1">
      <formula>$L6="SELECIONADO"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copies="4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100-000001000000}">
            <xm:f>$I6&gt;=CONFIGURACOES!$N$5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H6</xm:sqref>
        </x14:conditionalFormatting>
        <x14:conditionalFormatting xmlns:xm="http://schemas.microsoft.com/office/excel/2006/main">
          <x14:cfRule type="expression" priority="5" id="{7577E926-2F98-4484-B771-4702FB25D54D}">
            <xm:f>$F6=CONFIGURACOES!$D$5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F6</xm:sqref>
        </x14:conditionalFormatting>
        <x14:conditionalFormatting xmlns:xm="http://schemas.microsoft.com/office/excel/2006/main">
          <x14:cfRule type="expression" priority="4" id="{B6AB0A35-CA94-4D14-B93F-A85CF3067ED9}">
            <xm:f>$G6=CONFIGURACOES!$F$5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G6</xm:sqref>
        </x14:conditionalFormatting>
        <x14:conditionalFormatting xmlns:xm="http://schemas.microsoft.com/office/excel/2006/main">
          <x14:cfRule type="expression" priority="2" id="{2693B15C-B0EB-41D9-857B-1E6CDD716C4E}">
            <xm:f>$K6&gt;=CONFIGURACOES!$H$5</xm:f>
            <x14:dxf>
              <font>
                <b/>
                <i val="0"/>
                <color theme="9" tint="-0.499984740745262"/>
              </font>
              <fill>
                <patternFill>
                  <bgColor theme="9" tint="0.39994506668294322"/>
                </patternFill>
              </fill>
            </x14:dxf>
          </x14:cfRule>
          <x14:cfRule type="expression" priority="3" id="{C7ADB3C7-65B7-41B0-85A9-17B9D781E956}">
            <xm:f>$K6&gt;=CONFIGURACOES!$H$6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K6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DE133-2358-46AC-895A-1CAC6F9DF26E}">
  <sheetPr codeName="PlanArquiteto"/>
  <dimension ref="B1:U19"/>
  <sheetViews>
    <sheetView showGridLines="0" zoomScale="90" zoomScaleNormal="90" workbookViewId="0">
      <pane ySplit="16" topLeftCell="A17" activePane="bottomLeft" state="frozen"/>
      <selection pane="bottomLeft"/>
    </sheetView>
  </sheetViews>
  <sheetFormatPr defaultRowHeight="50.1" customHeight="1" x14ac:dyDescent="0.25"/>
  <cols>
    <col min="1" max="1" width="1.7109375" style="1" customWidth="1"/>
    <col min="2" max="2" width="19.7109375" style="1" customWidth="1"/>
    <col min="3" max="3" width="79.7109375" style="1" customWidth="1"/>
    <col min="4" max="4" width="19.7109375" style="1" customWidth="1"/>
    <col min="5" max="5" width="79.7109375" style="1" customWidth="1"/>
    <col min="6" max="6" width="26.42578125" style="1" hidden="1" customWidth="1"/>
    <col min="7" max="7" width="33.42578125" style="1" customWidth="1"/>
    <col min="8" max="8" width="20.5703125" style="1" customWidth="1"/>
    <col min="9" max="9" width="23.7109375" style="1" customWidth="1"/>
    <col min="10" max="10" width="15.7109375" style="1" hidden="1" customWidth="1"/>
    <col min="11" max="11" width="22.42578125" style="1" hidden="1" customWidth="1"/>
    <col min="12" max="12" width="1.7109375" style="1" customWidth="1"/>
    <col min="13" max="14" width="21.42578125" style="1" customWidth="1"/>
    <col min="15" max="16" width="9.140625" style="1"/>
    <col min="17" max="17" width="4.85546875" style="1" customWidth="1"/>
    <col min="18" max="18" width="1.7109375" style="1" customWidth="1"/>
    <col min="19" max="16384" width="9.140625" style="1"/>
  </cols>
  <sheetData>
    <row r="1" spans="2:21" s="2" customFormat="1" ht="69" x14ac:dyDescent="0.25">
      <c r="B1" s="3" t="s">
        <v>39</v>
      </c>
      <c r="C1" s="3"/>
      <c r="D1" s="3"/>
    </row>
    <row r="2" spans="2:21" s="22" customFormat="1" ht="5.0999999999999996" customHeight="1" x14ac:dyDescent="0.25"/>
    <row r="3" spans="2:21" ht="9.9499999999999993" customHeight="1" x14ac:dyDescent="0.25"/>
    <row r="4" spans="2:21" ht="26.25" customHeight="1" x14ac:dyDescent="0.25">
      <c r="B4" s="64"/>
      <c r="C4" s="17" t="s">
        <v>4</v>
      </c>
      <c r="D4" s="7"/>
      <c r="E4" s="8" t="s">
        <v>5</v>
      </c>
      <c r="F4" s="5"/>
      <c r="G4" s="51" t="s">
        <v>7</v>
      </c>
      <c r="H4" s="51" t="s">
        <v>14</v>
      </c>
      <c r="I4" s="51" t="s">
        <v>15</v>
      </c>
      <c r="J4" s="18" t="s">
        <v>23</v>
      </c>
      <c r="O4" s="14"/>
      <c r="P4" s="15"/>
      <c r="Q4" s="15"/>
      <c r="R4" s="15"/>
      <c r="S4" s="15"/>
      <c r="T4" s="15"/>
      <c r="U4" s="15"/>
    </row>
    <row r="5" spans="2:21" ht="26.25" x14ac:dyDescent="0.25">
      <c r="B5" s="64"/>
      <c r="C5" s="65"/>
      <c r="D5" s="66"/>
      <c r="E5" s="26"/>
      <c r="F5" s="39"/>
      <c r="G5" s="57"/>
      <c r="H5" s="24">
        <f>SUM(VENDA_ARQUITETOS[VENDA])</f>
        <v>0</v>
      </c>
      <c r="I5" s="25">
        <f>SUM(VENDA_ARQUITETOS[PONTUAÇÃO])</f>
        <v>0</v>
      </c>
      <c r="J5" s="24">
        <v>0</v>
      </c>
      <c r="O5" s="11"/>
      <c r="P5" s="11"/>
      <c r="Q5" s="11"/>
      <c r="R5" s="11"/>
      <c r="S5" s="11"/>
      <c r="T5" s="11"/>
      <c r="U5" s="11"/>
    </row>
    <row r="6" spans="2:21" ht="9.9499999999999993" customHeight="1" x14ac:dyDescent="0.25">
      <c r="B6" s="64"/>
      <c r="G6" s="6"/>
    </row>
    <row r="7" spans="2:21" ht="26.25" customHeight="1" x14ac:dyDescent="0.25">
      <c r="B7" s="64"/>
      <c r="C7" s="17" t="s">
        <v>0</v>
      </c>
      <c r="D7" s="7"/>
      <c r="E7" s="8" t="s">
        <v>1</v>
      </c>
      <c r="F7" s="5"/>
      <c r="G7" s="8" t="s">
        <v>2</v>
      </c>
      <c r="H7" s="8" t="s">
        <v>3</v>
      </c>
      <c r="I7" s="8" t="s">
        <v>8</v>
      </c>
      <c r="O7" s="16"/>
      <c r="P7" s="16"/>
      <c r="Q7" s="16"/>
      <c r="R7" s="16"/>
      <c r="S7" s="16"/>
      <c r="T7" s="16"/>
      <c r="U7" s="16"/>
    </row>
    <row r="8" spans="2:21" ht="26.25" x14ac:dyDescent="0.25">
      <c r="B8" s="64"/>
      <c r="C8" s="65"/>
      <c r="D8" s="66"/>
      <c r="E8" s="52"/>
      <c r="F8" s="39"/>
      <c r="G8" s="53"/>
      <c r="H8" s="27"/>
      <c r="I8" s="46"/>
      <c r="O8" s="11"/>
      <c r="P8" s="11"/>
      <c r="Q8" s="11"/>
      <c r="R8" s="11"/>
      <c r="S8" s="11"/>
      <c r="T8" s="11"/>
      <c r="U8" s="11"/>
    </row>
    <row r="9" spans="2:21" ht="9.9499999999999993" customHeight="1" x14ac:dyDescent="0.25">
      <c r="B9" s="11"/>
      <c r="C9" s="11"/>
      <c r="D9" s="11"/>
      <c r="E9" s="12"/>
      <c r="F9" s="12"/>
      <c r="G9" s="9"/>
      <c r="H9" s="13"/>
      <c r="I9" s="13"/>
      <c r="J9" s="11"/>
      <c r="O9" s="11"/>
      <c r="P9" s="11"/>
      <c r="Q9" s="11"/>
      <c r="R9" s="11"/>
      <c r="S9" s="11"/>
      <c r="T9" s="11"/>
      <c r="U9" s="11"/>
    </row>
    <row r="10" spans="2:21" ht="26.25" customHeight="1" x14ac:dyDescent="0.25">
      <c r="B10" s="31"/>
      <c r="C10" s="8" t="s">
        <v>6</v>
      </c>
      <c r="D10" s="2"/>
      <c r="E10" s="4" t="s">
        <v>19</v>
      </c>
      <c r="F10" s="19"/>
      <c r="G10" s="19"/>
      <c r="H10" s="8" t="s">
        <v>11</v>
      </c>
      <c r="I10" s="8" t="s">
        <v>10</v>
      </c>
      <c r="J10" s="11"/>
      <c r="Q10" s="11"/>
      <c r="R10" s="11"/>
      <c r="S10" s="11"/>
      <c r="T10" s="11"/>
      <c r="U10" s="11"/>
    </row>
    <row r="11" spans="2:21" ht="26.25" customHeight="1" x14ac:dyDescent="0.25">
      <c r="C11" s="60"/>
      <c r="D11" s="61"/>
      <c r="E11" s="60"/>
      <c r="F11" s="67"/>
      <c r="G11" s="61"/>
      <c r="H11" s="27"/>
      <c r="I11" s="28"/>
      <c r="J11" s="11"/>
      <c r="Q11" s="11"/>
      <c r="R11" s="11"/>
      <c r="S11" s="11"/>
      <c r="T11" s="11"/>
      <c r="U11" s="11"/>
    </row>
    <row r="12" spans="2:21" ht="9.9499999999999993" customHeight="1" x14ac:dyDescent="0.25">
      <c r="B12" s="11"/>
      <c r="C12" s="11"/>
      <c r="D12" s="11"/>
      <c r="E12" s="12"/>
      <c r="F12" s="12"/>
      <c r="G12" s="9"/>
      <c r="H12" s="13"/>
      <c r="I12" s="13"/>
      <c r="J12" s="11"/>
      <c r="K12" s="11"/>
      <c r="L12" s="11"/>
      <c r="M12" s="11"/>
      <c r="N12" s="11"/>
      <c r="O12" s="11"/>
      <c r="P12" s="11"/>
      <c r="Q12" s="11"/>
    </row>
    <row r="13" spans="2:21" ht="26.25" customHeight="1" x14ac:dyDescent="0.25">
      <c r="B13" s="11"/>
      <c r="C13" s="8" t="s">
        <v>34</v>
      </c>
      <c r="D13" s="2"/>
      <c r="E13" s="4" t="s">
        <v>37</v>
      </c>
      <c r="F13" s="19"/>
      <c r="G13" s="4" t="s">
        <v>36</v>
      </c>
      <c r="H13" s="4" t="s">
        <v>35</v>
      </c>
      <c r="I13" s="19"/>
      <c r="J13" s="11"/>
      <c r="K13" s="11"/>
      <c r="L13" s="11"/>
      <c r="M13" s="11"/>
      <c r="N13" s="11"/>
      <c r="O13" s="11"/>
      <c r="P13" s="11"/>
      <c r="Q13" s="11"/>
    </row>
    <row r="14" spans="2:21" ht="26.25" customHeight="1" x14ac:dyDescent="0.25">
      <c r="B14" s="11"/>
      <c r="C14" s="60"/>
      <c r="D14" s="61"/>
      <c r="E14" s="54"/>
      <c r="F14" s="50"/>
      <c r="G14" s="55"/>
      <c r="H14" s="62"/>
      <c r="I14" s="63"/>
      <c r="J14" s="11"/>
      <c r="K14" s="11"/>
      <c r="L14" s="11"/>
      <c r="M14" s="11"/>
      <c r="N14" s="11"/>
      <c r="O14" s="11"/>
      <c r="P14" s="11"/>
      <c r="Q14" s="11"/>
    </row>
    <row r="15" spans="2:21" ht="9.9499999999999993" customHeight="1" x14ac:dyDescent="0.25">
      <c r="B15" s="11"/>
      <c r="C15" s="11"/>
      <c r="D15" s="11"/>
      <c r="E15" s="12"/>
      <c r="F15" s="12"/>
      <c r="G15" s="9"/>
      <c r="H15" s="13"/>
      <c r="I15" s="13"/>
      <c r="J15" s="11"/>
      <c r="K15" s="11"/>
      <c r="L15" s="11"/>
      <c r="M15" s="11"/>
      <c r="N15" s="11"/>
      <c r="O15" s="11"/>
      <c r="P15" s="11"/>
      <c r="Q15" s="11"/>
    </row>
    <row r="16" spans="2:21" ht="51" customHeight="1" x14ac:dyDescent="0.25">
      <c r="B16" s="41" t="s">
        <v>12</v>
      </c>
      <c r="C16" s="21" t="s">
        <v>20</v>
      </c>
      <c r="D16" s="20" t="s">
        <v>13</v>
      </c>
      <c r="E16" s="30" t="s">
        <v>30</v>
      </c>
      <c r="F16" s="30" t="s">
        <v>26</v>
      </c>
      <c r="G16" s="9"/>
      <c r="H16" s="20" t="s">
        <v>24</v>
      </c>
      <c r="I16" s="20" t="s">
        <v>15</v>
      </c>
      <c r="J16" s="29" t="s">
        <v>16</v>
      </c>
      <c r="K16" s="21" t="s">
        <v>27</v>
      </c>
      <c r="L16" s="11"/>
      <c r="M16" s="11"/>
      <c r="N16" s="11"/>
      <c r="O16" s="11"/>
      <c r="P16" s="11"/>
      <c r="Q16" s="11"/>
    </row>
    <row r="17" spans="2:17" ht="50.1" customHeight="1" x14ac:dyDescent="0.25">
      <c r="B17" s="42"/>
      <c r="C17" s="49"/>
      <c r="D17" s="42"/>
      <c r="E17" s="49"/>
      <c r="F17" s="13">
        <f>COD[COD]</f>
        <v>0</v>
      </c>
      <c r="H17" s="23"/>
      <c r="I17" s="56"/>
      <c r="J17" s="58">
        <f>$M$17</f>
        <v>0</v>
      </c>
      <c r="K17" s="58">
        <f>COD[COD]</f>
        <v>0</v>
      </c>
      <c r="L17" s="11"/>
      <c r="M17" s="40">
        <f>IF($H17 &lt;&gt; "",VENDA[VENDA],)</f>
        <v>0</v>
      </c>
      <c r="N17" s="40">
        <f>COD[COD]</f>
        <v>0</v>
      </c>
      <c r="O17" s="40">
        <f>COD[COD]</f>
        <v>0</v>
      </c>
      <c r="P17" s="11"/>
      <c r="Q17" s="11"/>
    </row>
    <row r="18" spans="2:17" ht="50.1" customHeight="1" x14ac:dyDescent="0.25">
      <c r="G18" s="6"/>
    </row>
    <row r="19" spans="2:17" ht="50.1" customHeight="1" x14ac:dyDescent="0.25">
      <c r="G19" s="6"/>
    </row>
  </sheetData>
  <mergeCells count="7">
    <mergeCell ref="C14:D14"/>
    <mergeCell ref="H14:I14"/>
    <mergeCell ref="B4:B8"/>
    <mergeCell ref="C5:D5"/>
    <mergeCell ref="C8:D8"/>
    <mergeCell ref="C11:D11"/>
    <mergeCell ref="E11:G11"/>
  </mergeCells>
  <dataValidations count="2">
    <dataValidation type="list" allowBlank="1" showInputMessage="1" showErrorMessage="1" sqref="H11" xr:uid="{F1B11274-C5C7-47E7-A81D-D92520720328}">
      <formula1>INDIRECT("RETORNO")</formula1>
    </dataValidation>
    <dataValidation type="list" allowBlank="1" showInputMessage="1" showErrorMessage="1" sqref="I11" xr:uid="{D2942D08-AA2A-41AB-AD66-635DEFBBBA63}">
      <formula1>INDIRECT("PENDENCIA")</formula1>
    </dataValidation>
  </dataValidations>
  <pageMargins left="0.511811024" right="0.511811024" top="0.78740157499999996" bottom="0.78740157499999996" header="0.31496062000000002" footer="0.31496062000000002"/>
  <pageSetup paperSize="9" scale="30" orientation="portrait" horizontalDpi="0" verticalDpi="0" copies="4" r:id="rId1"/>
  <colBreaks count="1" manualBreakCount="1">
    <brk id="9" max="14" man="1"/>
  </colBreaks>
  <drawing r:id="rId2"/>
  <legacyDrawing r:id="rId3"/>
  <controls>
    <mc:AlternateContent xmlns:mc="http://schemas.openxmlformats.org/markup-compatibility/2006">
      <mc:Choice Requires="x14">
        <control shapeId="3073" r:id="rId4" name="fotoArquiteto">
          <controlPr defaultSize="0" autoLine="0" r:id="rId5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1</xdr:col>
                <xdr:colOff>1276350</xdr:colOff>
                <xdr:row>8</xdr:row>
                <xdr:rowOff>9525</xdr:rowOff>
              </to>
            </anchor>
          </controlPr>
        </control>
      </mc:Choice>
      <mc:Fallback>
        <control shapeId="3073" r:id="rId4" name="fotoArquiteto"/>
      </mc:Fallback>
    </mc:AlternateContent>
  </controls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CONFIGURACOES</vt:lpstr>
      <vt:lpstr>MENU PRINCIPAL</vt:lpstr>
      <vt:lpstr>ARQUITETO</vt:lpstr>
      <vt:lpstr>ARQUITETO!Area_de_impressao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 DO GRANITO</dc:creator>
  <cp:lastModifiedBy>casa</cp:lastModifiedBy>
  <cp:lastPrinted>2023-01-10T19:30:07Z</cp:lastPrinted>
  <dcterms:created xsi:type="dcterms:W3CDTF">2022-03-08T16:44:04Z</dcterms:created>
  <dcterms:modified xsi:type="dcterms:W3CDTF">2024-08-29T18:40:43Z</dcterms:modified>
</cp:coreProperties>
</file>