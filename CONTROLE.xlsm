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Desktop\CASA DO GRANITO\ACOMPANHAMENTO-ARQUITETOS\"/>
    </mc:Choice>
  </mc:AlternateContent>
  <xr:revisionPtr revIDLastSave="0" documentId="13_ncr:1_{743DF254-4838-46AE-84BE-EF2FA6DD1965}" xr6:coauthVersionLast="37" xr6:coauthVersionMax="47" xr10:uidLastSave="{00000000-0000-0000-0000-000000000000}"/>
  <bookViews>
    <workbookView xWindow="-120" yWindow="-120" windowWidth="29040" windowHeight="15720" tabRatio="0" firstSheet="1" activeTab="1" xr2:uid="{C8A6A2A4-98DD-4C9B-BBF9-0290A24D1B3A}"/>
  </bookViews>
  <sheets>
    <sheet name="CONFIGURACOES" sheetId="1" r:id="rId1"/>
    <sheet name="MENU PRINCIPAL" sheetId="2" r:id="rId2"/>
    <sheet name="ARQUITETO" sheetId="3" r:id="rId3"/>
  </sheets>
  <functionGroups builtInGroupCount="19"/>
  <definedNames>
    <definedName name="_xlnm.Print_Area" localSheetId="2">ARQUITETO!$A$1:$K$15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32" i="2" l="1"/>
  <c r="I232" i="2"/>
  <c r="L232" i="2"/>
  <c r="E231" i="2"/>
  <c r="I231" i="2"/>
  <c r="L231" i="2"/>
  <c r="E230" i="2"/>
  <c r="I230" i="2"/>
  <c r="L230" i="2"/>
  <c r="E229" i="2"/>
  <c r="I229" i="2"/>
  <c r="L229" i="2"/>
  <c r="E228" i="2"/>
  <c r="I228" i="2"/>
  <c r="L228" i="2"/>
  <c r="E227" i="2"/>
  <c r="I227" i="2"/>
  <c r="L227" i="2"/>
  <c r="E226" i="2"/>
  <c r="I226" i="2"/>
  <c r="L226" i="2"/>
  <c r="E225" i="2"/>
  <c r="I225" i="2"/>
  <c r="L225" i="2"/>
  <c r="E224" i="2"/>
  <c r="I224" i="2"/>
  <c r="L224" i="2"/>
  <c r="E223" i="2"/>
  <c r="I223" i="2"/>
  <c r="L223" i="2"/>
  <c r="E222" i="2"/>
  <c r="I222" i="2"/>
  <c r="L222" i="2"/>
  <c r="E221" i="2"/>
  <c r="I221" i="2"/>
  <c r="L221" i="2"/>
  <c r="E220" i="2"/>
  <c r="I220" i="2"/>
  <c r="L220" i="2"/>
  <c r="E219" i="2"/>
  <c r="I219" i="2"/>
  <c r="L219" i="2"/>
  <c r="E218" i="2"/>
  <c r="I218" i="2"/>
  <c r="L218" i="2"/>
  <c r="E217" i="2"/>
  <c r="I217" i="2"/>
  <c r="L217" i="2"/>
  <c r="E216" i="2"/>
  <c r="I216" i="2"/>
  <c r="L216" i="2"/>
  <c r="E215" i="2"/>
  <c r="I215" i="2"/>
  <c r="L215" i="2"/>
  <c r="E214" i="2"/>
  <c r="I214" i="2"/>
  <c r="L214" i="2"/>
  <c r="E213" i="2"/>
  <c r="I213" i="2"/>
  <c r="L213" i="2"/>
  <c r="E212" i="2"/>
  <c r="I212" i="2"/>
  <c r="L212" i="2"/>
  <c r="E211" i="2"/>
  <c r="I211" i="2"/>
  <c r="L211" i="2"/>
  <c r="E210" i="2"/>
  <c r="I210" i="2"/>
  <c r="L210" i="2"/>
  <c r="E209" i="2"/>
  <c r="I209" i="2"/>
  <c r="L209" i="2"/>
  <c r="E208" i="2"/>
  <c r="I208" i="2"/>
  <c r="L208" i="2"/>
  <c r="E207" i="2"/>
  <c r="I207" i="2"/>
  <c r="L207" i="2"/>
  <c r="E206" i="2"/>
  <c r="I206" i="2"/>
  <c r="L206" i="2"/>
  <c r="E205" i="2"/>
  <c r="I205" i="2"/>
  <c r="L205" i="2"/>
  <c r="E204" i="2"/>
  <c r="I204" i="2"/>
  <c r="L204" i="2"/>
  <c r="E203" i="2"/>
  <c r="I203" i="2"/>
  <c r="L203" i="2"/>
  <c r="E202" i="2"/>
  <c r="I202" i="2"/>
  <c r="L202" i="2"/>
  <c r="E201" i="2"/>
  <c r="I201" i="2"/>
  <c r="L201" i="2"/>
  <c r="E200" i="2"/>
  <c r="I200" i="2"/>
  <c r="L200" i="2"/>
  <c r="E199" i="2"/>
  <c r="I199" i="2"/>
  <c r="L199" i="2"/>
  <c r="E198" i="2"/>
  <c r="I198" i="2"/>
  <c r="L198" i="2"/>
  <c r="E197" i="2"/>
  <c r="I197" i="2"/>
  <c r="L197" i="2"/>
  <c r="E196" i="2"/>
  <c r="I196" i="2"/>
  <c r="L196" i="2"/>
  <c r="E195" i="2"/>
  <c r="I195" i="2"/>
  <c r="L195" i="2"/>
  <c r="E194" i="2"/>
  <c r="I194" i="2"/>
  <c r="L194" i="2"/>
  <c r="E193" i="2"/>
  <c r="I193" i="2"/>
  <c r="L193" i="2"/>
  <c r="E192" i="2"/>
  <c r="I192" i="2"/>
  <c r="L192" i="2"/>
  <c r="E191" i="2"/>
  <c r="I191" i="2"/>
  <c r="L191" i="2"/>
  <c r="E190" i="2"/>
  <c r="I190" i="2"/>
  <c r="L190" i="2"/>
  <c r="E189" i="2"/>
  <c r="I189" i="2"/>
  <c r="L189" i="2"/>
  <c r="E188" i="2"/>
  <c r="I188" i="2"/>
  <c r="L188" i="2"/>
  <c r="E187" i="2"/>
  <c r="I187" i="2"/>
  <c r="L187" i="2"/>
  <c r="E186" i="2"/>
  <c r="I186" i="2"/>
  <c r="L186" i="2"/>
  <c r="E185" i="2"/>
  <c r="I185" i="2"/>
  <c r="L185" i="2"/>
  <c r="E184" i="2"/>
  <c r="I184" i="2"/>
  <c r="L184" i="2"/>
  <c r="E183" i="2"/>
  <c r="I183" i="2"/>
  <c r="L183" i="2"/>
  <c r="E182" i="2"/>
  <c r="I182" i="2"/>
  <c r="L182" i="2"/>
  <c r="E181" i="2"/>
  <c r="I181" i="2"/>
  <c r="L181" i="2"/>
  <c r="E180" i="2"/>
  <c r="I180" i="2"/>
  <c r="L180" i="2"/>
  <c r="E179" i="2"/>
  <c r="I179" i="2"/>
  <c r="L179" i="2"/>
  <c r="E178" i="2"/>
  <c r="I178" i="2"/>
  <c r="L178" i="2"/>
  <c r="E177" i="2"/>
  <c r="I177" i="2"/>
  <c r="L177" i="2"/>
  <c r="E176" i="2"/>
  <c r="I176" i="2"/>
  <c r="L176" i="2"/>
  <c r="E175" i="2"/>
  <c r="I175" i="2"/>
  <c r="L175" i="2"/>
  <c r="E174" i="2"/>
  <c r="I174" i="2"/>
  <c r="L174" i="2"/>
  <c r="E173" i="2"/>
  <c r="I173" i="2"/>
  <c r="L173" i="2"/>
  <c r="E172" i="2"/>
  <c r="I172" i="2"/>
  <c r="L172" i="2"/>
  <c r="E171" i="2"/>
  <c r="I171" i="2"/>
  <c r="L171" i="2"/>
  <c r="E170" i="2"/>
  <c r="I170" i="2"/>
  <c r="L170" i="2"/>
  <c r="E169" i="2"/>
  <c r="I169" i="2"/>
  <c r="L169" i="2"/>
  <c r="E168" i="2"/>
  <c r="I168" i="2"/>
  <c r="L168" i="2"/>
  <c r="E167" i="2"/>
  <c r="I167" i="2"/>
  <c r="L167" i="2"/>
  <c r="E166" i="2"/>
  <c r="I166" i="2"/>
  <c r="L166" i="2"/>
  <c r="E165" i="2"/>
  <c r="I165" i="2"/>
  <c r="L165" i="2"/>
  <c r="E164" i="2"/>
  <c r="I164" i="2"/>
  <c r="L164" i="2"/>
  <c r="E163" i="2"/>
  <c r="I163" i="2"/>
  <c r="L163" i="2"/>
  <c r="E162" i="2"/>
  <c r="I162" i="2"/>
  <c r="L162" i="2"/>
  <c r="E161" i="2"/>
  <c r="I161" i="2"/>
  <c r="L161" i="2"/>
  <c r="E160" i="2"/>
  <c r="I160" i="2"/>
  <c r="L160" i="2"/>
  <c r="E159" i="2"/>
  <c r="I159" i="2"/>
  <c r="L159" i="2"/>
  <c r="E158" i="2"/>
  <c r="I158" i="2"/>
  <c r="L158" i="2"/>
  <c r="E157" i="2"/>
  <c r="I157" i="2"/>
  <c r="L157" i="2"/>
  <c r="E156" i="2"/>
  <c r="I156" i="2"/>
  <c r="L156" i="2"/>
  <c r="E155" i="2"/>
  <c r="I155" i="2"/>
  <c r="L155" i="2"/>
  <c r="E154" i="2"/>
  <c r="I154" i="2"/>
  <c r="L154" i="2"/>
  <c r="E153" i="2"/>
  <c r="I153" i="2"/>
  <c r="L153" i="2"/>
  <c r="E152" i="2"/>
  <c r="I152" i="2"/>
  <c r="L152" i="2"/>
  <c r="E151" i="2"/>
  <c r="I151" i="2"/>
  <c r="L151" i="2"/>
  <c r="E150" i="2"/>
  <c r="I150" i="2"/>
  <c r="L150" i="2"/>
  <c r="E149" i="2"/>
  <c r="I149" i="2"/>
  <c r="L149" i="2"/>
  <c r="E148" i="2"/>
  <c r="I148" i="2"/>
  <c r="L148" i="2"/>
  <c r="E147" i="2"/>
  <c r="I147" i="2"/>
  <c r="L147" i="2"/>
  <c r="E146" i="2"/>
  <c r="I146" i="2"/>
  <c r="L146" i="2"/>
  <c r="E145" i="2"/>
  <c r="I145" i="2"/>
  <c r="L145" i="2"/>
  <c r="E144" i="2"/>
  <c r="I144" i="2"/>
  <c r="L144" i="2"/>
  <c r="E143" i="2"/>
  <c r="I143" i="2"/>
  <c r="L143" i="2"/>
  <c r="E142" i="2"/>
  <c r="I142" i="2"/>
  <c r="L142" i="2"/>
  <c r="E141" i="2"/>
  <c r="I141" i="2"/>
  <c r="L141" i="2"/>
  <c r="E140" i="2"/>
  <c r="I140" i="2"/>
  <c r="L140" i="2"/>
  <c r="E139" i="2"/>
  <c r="I139" i="2"/>
  <c r="L139" i="2"/>
  <c r="E138" i="2"/>
  <c r="I138" i="2"/>
  <c r="L138" i="2"/>
  <c r="E137" i="2"/>
  <c r="I137" i="2"/>
  <c r="L137" i="2"/>
  <c r="E136" i="2"/>
  <c r="I136" i="2"/>
  <c r="L136" i="2"/>
  <c r="E135" i="2"/>
  <c r="I135" i="2"/>
  <c r="L135" i="2"/>
  <c r="E134" i="2"/>
  <c r="I134" i="2"/>
  <c r="L134" i="2"/>
  <c r="E133" i="2"/>
  <c r="I133" i="2"/>
  <c r="L133" i="2"/>
  <c r="E132" i="2"/>
  <c r="I132" i="2"/>
  <c r="L132" i="2"/>
  <c r="E131" i="2"/>
  <c r="I131" i="2"/>
  <c r="L131" i="2"/>
  <c r="E130" i="2"/>
  <c r="I130" i="2"/>
  <c r="L130" i="2"/>
  <c r="E129" i="2"/>
  <c r="I129" i="2"/>
  <c r="L129" i="2"/>
  <c r="E128" i="2"/>
  <c r="I128" i="2"/>
  <c r="L128" i="2"/>
  <c r="E127" i="2"/>
  <c r="I127" i="2"/>
  <c r="L127" i="2"/>
  <c r="E126" i="2"/>
  <c r="I126" i="2"/>
  <c r="L126" i="2"/>
  <c r="E125" i="2"/>
  <c r="I125" i="2"/>
  <c r="L125" i="2"/>
  <c r="E124" i="2"/>
  <c r="I124" i="2"/>
  <c r="L124" i="2"/>
  <c r="E123" i="2"/>
  <c r="I123" i="2"/>
  <c r="L123" i="2"/>
  <c r="E122" i="2"/>
  <c r="I122" i="2"/>
  <c r="L122" i="2"/>
  <c r="E121" i="2"/>
  <c r="I121" i="2"/>
  <c r="L121" i="2"/>
  <c r="E120" i="2"/>
  <c r="I120" i="2"/>
  <c r="L120" i="2"/>
  <c r="E119" i="2"/>
  <c r="I119" i="2"/>
  <c r="L119" i="2"/>
  <c r="E118" i="2"/>
  <c r="I118" i="2"/>
  <c r="L118" i="2"/>
  <c r="E117" i="2"/>
  <c r="I117" i="2"/>
  <c r="L117" i="2"/>
  <c r="E116" i="2"/>
  <c r="I116" i="2"/>
  <c r="L116" i="2"/>
  <c r="E115" i="2"/>
  <c r="I115" i="2"/>
  <c r="L115" i="2"/>
  <c r="E114" i="2"/>
  <c r="I114" i="2"/>
  <c r="L114" i="2"/>
  <c r="E113" i="2"/>
  <c r="I113" i="2"/>
  <c r="L113" i="2"/>
  <c r="E112" i="2"/>
  <c r="I112" i="2"/>
  <c r="L112" i="2"/>
  <c r="E111" i="2"/>
  <c r="I111" i="2"/>
  <c r="L111" i="2"/>
  <c r="E110" i="2"/>
  <c r="I110" i="2"/>
  <c r="L110" i="2"/>
  <c r="E109" i="2"/>
  <c r="I109" i="2"/>
  <c r="L109" i="2"/>
  <c r="E108" i="2"/>
  <c r="I108" i="2"/>
  <c r="L108" i="2"/>
  <c r="E107" i="2"/>
  <c r="I107" i="2"/>
  <c r="L107" i="2"/>
  <c r="E106" i="2"/>
  <c r="I106" i="2"/>
  <c r="L106" i="2"/>
  <c r="E105" i="2"/>
  <c r="I105" i="2"/>
  <c r="L105" i="2"/>
  <c r="E104" i="2"/>
  <c r="I104" i="2"/>
  <c r="L104" i="2"/>
  <c r="E103" i="2"/>
  <c r="I103" i="2"/>
  <c r="L103" i="2"/>
  <c r="E102" i="2"/>
  <c r="I102" i="2"/>
  <c r="L102" i="2"/>
  <c r="E101" i="2"/>
  <c r="I101" i="2"/>
  <c r="L101" i="2"/>
  <c r="E100" i="2"/>
  <c r="I100" i="2"/>
  <c r="L100" i="2"/>
  <c r="E99" i="2"/>
  <c r="I99" i="2"/>
  <c r="L99" i="2"/>
  <c r="E98" i="2"/>
  <c r="I98" i="2"/>
  <c r="L98" i="2"/>
  <c r="E97" i="2"/>
  <c r="I97" i="2"/>
  <c r="L97" i="2"/>
  <c r="E96" i="2"/>
  <c r="I96" i="2"/>
  <c r="L96" i="2"/>
  <c r="E95" i="2"/>
  <c r="I95" i="2"/>
  <c r="L95" i="2"/>
  <c r="E94" i="2"/>
  <c r="I94" i="2"/>
  <c r="L94" i="2"/>
  <c r="E93" i="2"/>
  <c r="I93" i="2"/>
  <c r="L93" i="2"/>
  <c r="E92" i="2"/>
  <c r="I92" i="2"/>
  <c r="L92" i="2"/>
  <c r="E91" i="2"/>
  <c r="I91" i="2"/>
  <c r="L91" i="2"/>
  <c r="E90" i="2"/>
  <c r="I90" i="2"/>
  <c r="L90" i="2"/>
  <c r="E89" i="2"/>
  <c r="I89" i="2"/>
  <c r="L89" i="2"/>
  <c r="E88" i="2"/>
  <c r="I88" i="2"/>
  <c r="L88" i="2"/>
  <c r="E87" i="2"/>
  <c r="I87" i="2"/>
  <c r="L87" i="2"/>
  <c r="E86" i="2"/>
  <c r="I86" i="2"/>
  <c r="L86" i="2"/>
  <c r="E85" i="2"/>
  <c r="I85" i="2"/>
  <c r="L85" i="2"/>
  <c r="E84" i="2"/>
  <c r="I84" i="2"/>
  <c r="L84" i="2"/>
  <c r="E83" i="2"/>
  <c r="I83" i="2"/>
  <c r="L83" i="2"/>
  <c r="E82" i="2"/>
  <c r="I82" i="2"/>
  <c r="L82" i="2"/>
  <c r="E81" i="2"/>
  <c r="I81" i="2"/>
  <c r="L81" i="2"/>
  <c r="E80" i="2"/>
  <c r="I80" i="2"/>
  <c r="L80" i="2"/>
  <c r="E79" i="2"/>
  <c r="I79" i="2"/>
  <c r="L79" i="2"/>
  <c r="E78" i="2"/>
  <c r="I78" i="2"/>
  <c r="L78" i="2"/>
  <c r="E77" i="2"/>
  <c r="I77" i="2"/>
  <c r="L77" i="2"/>
  <c r="E76" i="2"/>
  <c r="I76" i="2"/>
  <c r="L76" i="2"/>
  <c r="E75" i="2"/>
  <c r="I75" i="2"/>
  <c r="L75" i="2"/>
  <c r="E74" i="2"/>
  <c r="I74" i="2"/>
  <c r="L74" i="2"/>
  <c r="E73" i="2"/>
  <c r="I73" i="2"/>
  <c r="L73" i="2"/>
  <c r="E72" i="2"/>
  <c r="I72" i="2"/>
  <c r="L72" i="2"/>
  <c r="E71" i="2"/>
  <c r="I71" i="2"/>
  <c r="L71" i="2"/>
  <c r="E70" i="2"/>
  <c r="I70" i="2"/>
  <c r="L70" i="2"/>
  <c r="E69" i="2"/>
  <c r="I69" i="2"/>
  <c r="L69" i="2"/>
  <c r="E68" i="2"/>
  <c r="I68" i="2"/>
  <c r="L68" i="2"/>
  <c r="E67" i="2"/>
  <c r="I67" i="2"/>
  <c r="L67" i="2"/>
  <c r="E66" i="2"/>
  <c r="I66" i="2"/>
  <c r="L66" i="2"/>
  <c r="E65" i="2"/>
  <c r="I65" i="2"/>
  <c r="L65" i="2"/>
  <c r="E64" i="2"/>
  <c r="L64" i="2"/>
  <c r="E63" i="2"/>
  <c r="I63" i="2"/>
  <c r="L63" i="2"/>
  <c r="E62" i="2"/>
  <c r="I62" i="2"/>
  <c r="L62" i="2"/>
  <c r="E61" i="2"/>
  <c r="I61" i="2"/>
  <c r="L61" i="2"/>
  <c r="E60" i="2"/>
  <c r="I60" i="2"/>
  <c r="L60" i="2"/>
  <c r="E59" i="2"/>
  <c r="I59" i="2"/>
  <c r="L59" i="2"/>
  <c r="E58" i="2"/>
  <c r="I58" i="2"/>
  <c r="L58" i="2"/>
  <c r="E57" i="2"/>
  <c r="I57" i="2"/>
  <c r="L57" i="2"/>
  <c r="E56" i="2"/>
  <c r="I56" i="2"/>
  <c r="L56" i="2"/>
  <c r="E55" i="2"/>
  <c r="I55" i="2"/>
  <c r="L55" i="2"/>
  <c r="E54" i="2"/>
  <c r="I54" i="2"/>
  <c r="L54" i="2"/>
  <c r="E53" i="2"/>
  <c r="I53" i="2"/>
  <c r="L53" i="2"/>
  <c r="E52" i="2"/>
  <c r="I52" i="2"/>
  <c r="L52" i="2"/>
  <c r="E51" i="2"/>
  <c r="I51" i="2"/>
  <c r="L51" i="2"/>
  <c r="E50" i="2"/>
  <c r="I50" i="2"/>
  <c r="L50" i="2"/>
  <c r="E49" i="2"/>
  <c r="I49" i="2"/>
  <c r="L49" i="2"/>
  <c r="E48" i="2"/>
  <c r="I48" i="2"/>
  <c r="L48" i="2"/>
  <c r="E47" i="2"/>
  <c r="I47" i="2"/>
  <c r="L47" i="2"/>
  <c r="E46" i="2"/>
  <c r="I46" i="2"/>
  <c r="L46" i="2"/>
  <c r="E45" i="2"/>
  <c r="I45" i="2"/>
  <c r="L45" i="2"/>
  <c r="E44" i="2"/>
  <c r="I44" i="2"/>
  <c r="L44" i="2"/>
  <c r="E43" i="2"/>
  <c r="I43" i="2"/>
  <c r="L43" i="2"/>
  <c r="E42" i="2"/>
  <c r="I42" i="2"/>
  <c r="L42" i="2"/>
  <c r="E41" i="2"/>
  <c r="I41" i="2"/>
  <c r="L41" i="2"/>
  <c r="E40" i="2"/>
  <c r="I40" i="2"/>
  <c r="L40" i="2"/>
  <c r="E39" i="2"/>
  <c r="I39" i="2"/>
  <c r="L39" i="2"/>
  <c r="E38" i="2"/>
  <c r="I38" i="2"/>
  <c r="L38" i="2"/>
  <c r="E37" i="2"/>
  <c r="I37" i="2"/>
  <c r="L37" i="2"/>
  <c r="E36" i="2"/>
  <c r="I36" i="2"/>
  <c r="L36" i="2"/>
  <c r="E35" i="2"/>
  <c r="I35" i="2"/>
  <c r="L35" i="2"/>
  <c r="E34" i="2"/>
  <c r="I34" i="2"/>
  <c r="L34" i="2"/>
  <c r="E33" i="2"/>
  <c r="I33" i="2"/>
  <c r="L33" i="2"/>
  <c r="E32" i="2"/>
  <c r="I32" i="2"/>
  <c r="L32" i="2"/>
  <c r="E31" i="2"/>
  <c r="I31" i="2"/>
  <c r="L31" i="2"/>
  <c r="E30" i="2"/>
  <c r="I30" i="2"/>
  <c r="L30" i="2"/>
  <c r="E29" i="2"/>
  <c r="I29" i="2"/>
  <c r="L29" i="2"/>
  <c r="E28" i="2"/>
  <c r="I28" i="2"/>
  <c r="L28" i="2"/>
  <c r="E27" i="2"/>
  <c r="I27" i="2"/>
  <c r="L27" i="2"/>
  <c r="E26" i="2"/>
  <c r="I26" i="2"/>
  <c r="L26" i="2"/>
  <c r="E25" i="2"/>
  <c r="I25" i="2"/>
  <c r="L25" i="2"/>
  <c r="E24" i="2"/>
  <c r="I24" i="2"/>
  <c r="L24" i="2"/>
  <c r="E23" i="2"/>
  <c r="I23" i="2"/>
  <c r="L23" i="2"/>
  <c r="E22" i="2"/>
  <c r="I22" i="2"/>
  <c r="L22" i="2"/>
  <c r="E21" i="2"/>
  <c r="I21" i="2"/>
  <c r="L21" i="2"/>
  <c r="E20" i="2"/>
  <c r="I20" i="2"/>
  <c r="L20" i="2"/>
  <c r="E19" i="2"/>
  <c r="I19" i="2"/>
  <c r="L19" i="2"/>
  <c r="E18" i="2"/>
  <c r="I18" i="2"/>
  <c r="L18" i="2"/>
  <c r="E17" i="2"/>
  <c r="I17" i="2"/>
  <c r="L17" i="2"/>
  <c r="E16" i="2"/>
  <c r="I16" i="2"/>
  <c r="L16" i="2"/>
  <c r="E15" i="2"/>
  <c r="I15" i="2"/>
  <c r="L15" i="2"/>
  <c r="E14" i="2"/>
  <c r="I14" i="2"/>
  <c r="L14" i="2"/>
  <c r="E13" i="2"/>
  <c r="I13" i="2"/>
  <c r="L13" i="2"/>
  <c r="E12" i="2"/>
  <c r="I12" i="2"/>
  <c r="L12" i="2"/>
  <c r="E11" i="2"/>
  <c r="I11" i="2"/>
  <c r="L11" i="2"/>
  <c r="E10" i="2"/>
  <c r="I10" i="2"/>
  <c r="L10" i="2"/>
  <c r="E9" i="2"/>
  <c r="I9" i="2"/>
  <c r="L9" i="2"/>
  <c r="E8" i="2"/>
  <c r="I8" i="2"/>
  <c r="L8" i="2"/>
  <c r="E7" i="2"/>
  <c r="I7" i="2"/>
  <c r="L7" i="2"/>
  <c r="K17" i="3"/>
  <c r="J17" i="3"/>
  <c r="F17" i="3"/>
  <c r="L6" i="2" l="1"/>
  <c r="E6" i="2" l="1"/>
  <c r="O17" i="3" l="1"/>
  <c r="N17" i="3"/>
  <c r="M17" i="3"/>
  <c r="H5" i="3" l="1"/>
  <c r="I5" i="3"/>
  <c r="G1" i="2"/>
  <c r="N1" i="2" s="1"/>
  <c r="I64" i="2" s="1"/>
  <c r="I6" i="2" l="1"/>
  <c r="L1" i="2"/>
</calcChain>
</file>

<file path=xl/sharedStrings.xml><?xml version="1.0" encoding="utf-8"?>
<sst xmlns="http://schemas.openxmlformats.org/spreadsheetml/2006/main" count="844" uniqueCount="358">
  <si>
    <t>LOGRADOURO</t>
  </si>
  <si>
    <t>BAIRRO</t>
  </si>
  <si>
    <t>CIDADE</t>
  </si>
  <si>
    <t>UF</t>
  </si>
  <si>
    <t>ESCRITÓRIO</t>
  </si>
  <si>
    <t>ANIVERSÁRIO</t>
  </si>
  <si>
    <t>MARMOARIAS</t>
  </si>
  <si>
    <t>ÚLTIMO CONTATO</t>
  </si>
  <si>
    <t>CEP</t>
  </si>
  <si>
    <t>SIM</t>
  </si>
  <si>
    <t>PENDÊNCIA</t>
  </si>
  <si>
    <t>RETORNO</t>
  </si>
  <si>
    <t>DATA CONTATO</t>
  </si>
  <si>
    <t>DATA RETORNO</t>
  </si>
  <si>
    <t>VENDAS</t>
  </si>
  <si>
    <t>PONTUAÇÃO</t>
  </si>
  <si>
    <t>VENDA</t>
  </si>
  <si>
    <t>CONFIGURAÇÕES GERAIS</t>
  </si>
  <si>
    <t>MENU PRINCIPAL</t>
  </si>
  <si>
    <t>OBSERVAÇÃO GERAL</t>
  </si>
  <si>
    <t>RELATO CONTATO</t>
  </si>
  <si>
    <t>NÃO</t>
  </si>
  <si>
    <t>PENDENCIA</t>
  </si>
  <si>
    <t>COD</t>
  </si>
  <si>
    <t>ROMANEIO</t>
  </si>
  <si>
    <t>NOME</t>
  </si>
  <si>
    <t>COD CONTATO</t>
  </si>
  <si>
    <t>COD VENDA</t>
  </si>
  <si>
    <t>aux_data</t>
  </si>
  <si>
    <t>ALERTA PONTUAÇÃO</t>
  </si>
  <si>
    <t>OBSERVAÇÃO</t>
  </si>
  <si>
    <t>SELEÇÃO</t>
  </si>
  <si>
    <t>SELECIONAR</t>
  </si>
  <si>
    <t>aux_data_contato</t>
  </si>
  <si>
    <t>E-MAIL</t>
  </si>
  <si>
    <t>TELEFONE</t>
  </si>
  <si>
    <t>CPF</t>
  </si>
  <si>
    <t>CNPJ</t>
  </si>
  <si>
    <t>ALERTA ÚLTIMO CONTATO</t>
  </si>
  <si>
    <t>NOME DO ARQUITETO</t>
  </si>
  <si>
    <t xml:space="preserve">4AU NATAIANE </t>
  </si>
  <si>
    <t>ALANA DE LIMA IRMÃO</t>
  </si>
  <si>
    <t>20/10/1993</t>
  </si>
  <si>
    <t>ALBA JULIANA MARTINS VALOIS</t>
  </si>
  <si>
    <t>28/08/1980</t>
  </si>
  <si>
    <t>ALEFFY DANIEL DE OLIVEIRA</t>
  </si>
  <si>
    <t>26/01/1999</t>
  </si>
  <si>
    <t>ALESSANDRA GALVÃO CARVALHO</t>
  </si>
  <si>
    <t>20/04/2000</t>
  </si>
  <si>
    <t>ALÍCIA MANOELA DE MELO</t>
  </si>
  <si>
    <t>23/12/1999</t>
  </si>
  <si>
    <t>ALINE LIMA DE VASCONCELOS SILVA</t>
  </si>
  <si>
    <t>ALINE MENEZE</t>
  </si>
  <si>
    <t>28/07/1992</t>
  </si>
  <si>
    <t>ALLAN CHAGAS</t>
  </si>
  <si>
    <t>ALLAN GUSTAVO DA SILVA CHAGAS</t>
  </si>
  <si>
    <t>ALTINO CARDOSO</t>
  </si>
  <si>
    <t>29/07/1989</t>
  </si>
  <si>
    <t>ALTINO DE SOUZA CARDOSO</t>
  </si>
  <si>
    <t>AMANDA KAROLINE DA SILVA</t>
  </si>
  <si>
    <t>ANA DANIELA RODRIGUES COSTA</t>
  </si>
  <si>
    <t>15/02/1976</t>
  </si>
  <si>
    <t>ANDERSON RICARDO SILVA DOS SANTOS</t>
  </si>
  <si>
    <t>ANDRÉA CHAGAS</t>
  </si>
  <si>
    <t>ANDRÉA FORTE CHAGAS</t>
  </si>
  <si>
    <t>14/09/1991</t>
  </si>
  <si>
    <t>ANGELICA ALVES</t>
  </si>
  <si>
    <t>ANGÉLICA JÉSSICA ALVES BEZERRA</t>
  </si>
  <si>
    <t>ANNA CAROLINA AROEIRA GOIS LACERDA LESSA</t>
  </si>
  <si>
    <t>18/07/1998</t>
  </si>
  <si>
    <t>ANTHONY RICHARD RAMALHO VANCE JUNIOR</t>
  </si>
  <si>
    <t>ANTONIO JORDÃO DOS SANTOS FILHO</t>
  </si>
  <si>
    <t>28/12/1977</t>
  </si>
  <si>
    <t>ANTONIO JOSE DE MELO FILHO</t>
  </si>
  <si>
    <t>29/08/1994</t>
  </si>
  <si>
    <t>ANTONIO VIANA</t>
  </si>
  <si>
    <t>ANTONIO VIANA JUNIOR</t>
  </si>
  <si>
    <t>ARIADNE</t>
  </si>
  <si>
    <t>23/01/1994</t>
  </si>
  <si>
    <t>BASÍLIO ARQUITETOS</t>
  </si>
  <si>
    <t>BELCHIOR KAYQUE NEVES OLIVEIRA</t>
  </si>
  <si>
    <t>BELCHIOR OLIVEIRA</t>
  </si>
  <si>
    <t>BETA ARQUITETURA</t>
  </si>
  <si>
    <t>BIANCA</t>
  </si>
  <si>
    <t>19/10/1999</t>
  </si>
  <si>
    <t>BIANCA TIMÓTEO SILVA</t>
  </si>
  <si>
    <t>BIANCAMONALISA</t>
  </si>
  <si>
    <t>19/10/1993</t>
  </si>
  <si>
    <t>BRUNA CARVALHO ASSIS FERREIRA</t>
  </si>
  <si>
    <t>BRUNA MOURA</t>
  </si>
  <si>
    <t>22/07/1999</t>
  </si>
  <si>
    <t>BRUNNA COELHO PINTO ALVES</t>
  </si>
  <si>
    <t>29/05/1992</t>
  </si>
  <si>
    <t>CAMILA ARAGÃO</t>
  </si>
  <si>
    <t>CAMILA EDUARDA ARAÚJO GONÇALVES</t>
  </si>
  <si>
    <t>CAMILA JÉSSICA ARAGÃO</t>
  </si>
  <si>
    <t>CARLA CRISTINE</t>
  </si>
  <si>
    <t>CARLOS PLACIDO DA SILVA CHAVES</t>
  </si>
  <si>
    <t>26/03/1989</t>
  </si>
  <si>
    <t>CATARINA LINO</t>
  </si>
  <si>
    <t xml:space="preserve">CECILIA NUNES </t>
  </si>
  <si>
    <t>CECILIA NUNES DE SIQUEIRA</t>
  </si>
  <si>
    <t>CÉLIO ROBERTO DA SILVA JÚNIOR</t>
  </si>
  <si>
    <t>CÉLIO SILVIA</t>
  </si>
  <si>
    <t>CÍCERA DANIELA GUIMARÃES DOS SANTOS</t>
  </si>
  <si>
    <t>20/09/1992</t>
  </si>
  <si>
    <t xml:space="preserve">CINTIA  </t>
  </si>
  <si>
    <t>14/01/1993</t>
  </si>
  <si>
    <t>CL ARQUITETURA</t>
  </si>
  <si>
    <t>CLEBER CABRAL DA SILVA</t>
  </si>
  <si>
    <t>17/08/2023</t>
  </si>
  <si>
    <t>CRISLAYNE RAYLA ACIOLY LINS</t>
  </si>
  <si>
    <t>17/05/1995</t>
  </si>
  <si>
    <t>CRISTOVÃO LEONEL DOS SANTOS</t>
  </si>
  <si>
    <t>15/06/1999</t>
  </si>
  <si>
    <t>DANIEL PROCORIO</t>
  </si>
  <si>
    <t>DANIELLE SOARES LEAL</t>
  </si>
  <si>
    <t>DANILO LUÍS TORRES SILVA</t>
  </si>
  <si>
    <t>DAVIDSON CARLOS NASCIMENTO COSTA</t>
  </si>
  <si>
    <t>DAYANE CRISTINA DE OLIVEIRA LIMA</t>
  </si>
  <si>
    <t>DÉBORA</t>
  </si>
  <si>
    <t xml:space="preserve">DEBORA BRITO </t>
  </si>
  <si>
    <t>29/08/2024</t>
  </si>
  <si>
    <t>DÉBORA RACHELL LAGOS ALVES</t>
  </si>
  <si>
    <t>DENIS CHALEGRE DE OLIVEIRA</t>
  </si>
  <si>
    <t>DÊNIS CHALLEGRE</t>
  </si>
  <si>
    <t>DIEGO RODRIGUES</t>
  </si>
  <si>
    <t>DIEGO RODRIGUÊS</t>
  </si>
  <si>
    <t>DIMAIRAN VIEIRA DE LIRA</t>
  </si>
  <si>
    <t>26/01/1970</t>
  </si>
  <si>
    <t>DYEGO PACHECO BRITO LIMA</t>
  </si>
  <si>
    <t>31/10/1989</t>
  </si>
  <si>
    <t>EDMACY UBIRAJARA</t>
  </si>
  <si>
    <t>23/02/1990</t>
  </si>
  <si>
    <t>EDMILSON HELENO DA SILVA FILHO</t>
  </si>
  <si>
    <t>21/07/1989</t>
  </si>
  <si>
    <t>EDNA MARGARETH LINS RIBEIRO DE MELO</t>
  </si>
  <si>
    <t>ELEVE ARQUITETURA</t>
  </si>
  <si>
    <t>23/07/1991</t>
  </si>
  <si>
    <t>ELIZÂNGELA FREITAS SERÓDIO</t>
  </si>
  <si>
    <t>ELYDA APARECIDA MARTINS DA SILVA</t>
  </si>
  <si>
    <t>27/11/1997</t>
  </si>
  <si>
    <t>EMANOELA ARQUITETA</t>
  </si>
  <si>
    <t>EMANOELA BELARMINA DOS SANTOS DA SILVA</t>
  </si>
  <si>
    <t>EMANUELLE DE OLIVEIRA CINCINATO</t>
  </si>
  <si>
    <t>17/02/2000</t>
  </si>
  <si>
    <t>EMERSON NUNES DA SILVA</t>
  </si>
  <si>
    <t>30/11/1992</t>
  </si>
  <si>
    <t>EMILIA JULYANNA LEAL SILVA</t>
  </si>
  <si>
    <t>19/05/1990</t>
  </si>
  <si>
    <t>ERALDO JOSÉ DA SILVA NETO</t>
  </si>
  <si>
    <t>EVA M PACHECO</t>
  </si>
  <si>
    <t>EVA MHORGANA PACHECO HENRIQUE DE FREITAS</t>
  </si>
  <si>
    <t>EVANESSA SUANNY DE MELO ARAÚJO</t>
  </si>
  <si>
    <t>22/03/1988</t>
  </si>
  <si>
    <t>EVELINE CINARA BATISTA DA SILVA</t>
  </si>
  <si>
    <t>FELIPE VALADARES</t>
  </si>
  <si>
    <t>18/05/1985</t>
  </si>
  <si>
    <t>FELIPE VALADARES MELO DE OLIVEIRA</t>
  </si>
  <si>
    <t>FERNANDA BEZERRAS</t>
  </si>
  <si>
    <t>FERNANDA CLARISSE ALEXANDRE BEZERRA FONSECA</t>
  </si>
  <si>
    <t>28/08/1994</t>
  </si>
  <si>
    <t>FILIPO ARCE MADEIRA CAMPOS JUNIOR</t>
  </si>
  <si>
    <t>FILIPO MADEIRA</t>
  </si>
  <si>
    <t>FLÁVIA TACIANA BECO PERGENTINO DE BARROS</t>
  </si>
  <si>
    <t>25/09/1996</t>
  </si>
  <si>
    <t>FLÁVIO JOSE</t>
  </si>
  <si>
    <t>19/07/1995</t>
  </si>
  <si>
    <t>FLORA NUNES BRAZ OLIVEIRA MAGALHÃES</t>
  </si>
  <si>
    <t>26/09/1987</t>
  </si>
  <si>
    <t>FOFA</t>
  </si>
  <si>
    <t xml:space="preserve">GABRIELA AMORIM </t>
  </si>
  <si>
    <t>GABRIELA LIRA FARIAS</t>
  </si>
  <si>
    <t>18/10/1992</t>
  </si>
  <si>
    <t>GABRIELA VIDAL AMORIM</t>
  </si>
  <si>
    <t>GEORGE CASÉ</t>
  </si>
  <si>
    <t>21/04/1980</t>
  </si>
  <si>
    <t>GERSON JUNIOR</t>
  </si>
  <si>
    <t>GERSON OLIVEIRA SANTOS JÚNIOR</t>
  </si>
  <si>
    <t>23/05/1971</t>
  </si>
  <si>
    <t>GIOVANNA TABOSA GHERSMAN</t>
  </si>
  <si>
    <t>20/10/1996</t>
  </si>
  <si>
    <t>GISELLY RENATA MARIANA SOUTO DE FARIAS FERREIRA</t>
  </si>
  <si>
    <t>GISLENE WEDNA DOS SANTOS</t>
  </si>
  <si>
    <t>19/10/2001</t>
  </si>
  <si>
    <t>GLEYCE SILVA</t>
  </si>
  <si>
    <t>IGOR CABRAL DE MELO LIMA</t>
  </si>
  <si>
    <t>ISABELA BIANCA FERREIRA SIQUEIRA</t>
  </si>
  <si>
    <t>ISABELLA DE MEDEIROS LIMA COELHO</t>
  </si>
  <si>
    <t>ISABELLA RODRIGUES GALINDO DE LIMA</t>
  </si>
  <si>
    <t>19/03/1987</t>
  </si>
  <si>
    <t>IURE CÉSAR TABOSA BATISTA</t>
  </si>
  <si>
    <t>IVANNA RAMOS DE LIRA</t>
  </si>
  <si>
    <t>JAMERSON</t>
  </si>
  <si>
    <t>JAMESSON JOSÉ DA SILVA</t>
  </si>
  <si>
    <t>JAQUELINE DA SILVA BALBINO</t>
  </si>
  <si>
    <t>15/06/1986</t>
  </si>
  <si>
    <t>JAYNNE ALBÊNIA</t>
  </si>
  <si>
    <t>JESSICA CAROLINE DE SOUSA MOURA MORAIS</t>
  </si>
  <si>
    <t>JÉSSICA MIRELLI MAGDALLA OLIVEIRA DOS SANTOS</t>
  </si>
  <si>
    <t>25/07/1988</t>
  </si>
  <si>
    <t>JIRAU ARQUITETURA E URBANISMO</t>
  </si>
  <si>
    <t>21/08/1999</t>
  </si>
  <si>
    <t>JOANA</t>
  </si>
  <si>
    <t>13/03/2000</t>
  </si>
  <si>
    <t>JOÃO ALVES DA SILVA FILHO</t>
  </si>
  <si>
    <t>JOÃO PAULO DAS MERCÊS MUNIZ</t>
  </si>
  <si>
    <t>JONATHAN CAVALCANTE DE LIMA</t>
  </si>
  <si>
    <t>JOSÉ MATEUS DE LIMA SOARES</t>
  </si>
  <si>
    <t>22/07/1995</t>
  </si>
  <si>
    <t>JOSEANE LÍVIA DA SILVA BRITO</t>
  </si>
  <si>
    <t>19/01/1993</t>
  </si>
  <si>
    <t>JOSELANE GUIMARÃES MORAIS</t>
  </si>
  <si>
    <t>JOSENICE DE FÁTIMA ARAGÃO NEVES</t>
  </si>
  <si>
    <t>13/09/1955</t>
  </si>
  <si>
    <t>JUCI</t>
  </si>
  <si>
    <t>18/04/1988</t>
  </si>
  <si>
    <t>JULIA BIANCA SILVA PEREIRA DOS SANTOS</t>
  </si>
  <si>
    <t>JÚLIO CÉSAR DO NASCIMENTO OLIVEIRA</t>
  </si>
  <si>
    <t>KAANDSON</t>
  </si>
  <si>
    <t>18/05/1996</t>
  </si>
  <si>
    <t>KAANDSON LUIZ BARROS BEZERRA</t>
  </si>
  <si>
    <t>KARLA MIRELLY BRAZ DE MACÊDO ARAÚJO</t>
  </si>
  <si>
    <t>KAROLINE LIMA DO NASCIMENTO</t>
  </si>
  <si>
    <t>16/04/1995</t>
  </si>
  <si>
    <t>KATIUSCIA DE LIMA</t>
  </si>
  <si>
    <t>KAWANNY SILVA</t>
  </si>
  <si>
    <t>20/07/1997</t>
  </si>
  <si>
    <t>KAWANNY SILVA MEDEIROS</t>
  </si>
  <si>
    <t>KAYO ANDSON DE OLIVEIRA MELO</t>
  </si>
  <si>
    <t>LAIS CATÃO</t>
  </si>
  <si>
    <t>LARISSA LUNARA DA SILVA VASCONCELOS</t>
  </si>
  <si>
    <t>LAURA CAROLINA SILVA RODRIGUES DOS SANTOS</t>
  </si>
  <si>
    <t>LAYS MAYRA HENRIQUE PEREIRA</t>
  </si>
  <si>
    <t>LEONARDO BRUNO DA SILVA</t>
  </si>
  <si>
    <t>19/06/1996</t>
  </si>
  <si>
    <t>LEONARDO RAMOS DA SILVA</t>
  </si>
  <si>
    <t xml:space="preserve">LEONARDO RAMOS DA SILVA </t>
  </si>
  <si>
    <t>LETÍCIA CAVALCANTI</t>
  </si>
  <si>
    <t>LÍGIA ARRUDA</t>
  </si>
  <si>
    <t>LIGIA CONCEIÇÃO DE ARRUDA FLORÊNCIO</t>
  </si>
  <si>
    <t>26/02/1988</t>
  </si>
  <si>
    <t>LIVIA</t>
  </si>
  <si>
    <t>LÍVIA PATRÍCIA FARIA DE OLIVEIRA</t>
  </si>
  <si>
    <t>25/03/1983</t>
  </si>
  <si>
    <t>LORENA DE FARIAS PONTUAL</t>
  </si>
  <si>
    <t>23/07/1979</t>
  </si>
  <si>
    <t>LORENA PONTUAL</t>
  </si>
  <si>
    <t>LUANA DE OLIVEIRA SOARES</t>
  </si>
  <si>
    <t>LUCAS ESTEVÃO</t>
  </si>
  <si>
    <t>17/05/1999</t>
  </si>
  <si>
    <t>LUCAS GONÇALO DA SILVA</t>
  </si>
  <si>
    <t>LUIZ FELIPE ARAGÃO</t>
  </si>
  <si>
    <t>LUIZA MEDEIROS</t>
  </si>
  <si>
    <t>27/03/1992</t>
  </si>
  <si>
    <t>LUIZA SANTOS DE MEDEIROS</t>
  </si>
  <si>
    <t>MAKSUEL CAVALCANTE DE ANDRADE</t>
  </si>
  <si>
    <t>25/11/1993</t>
  </si>
  <si>
    <t>MARABUCO</t>
  </si>
  <si>
    <t>MARCELA</t>
  </si>
  <si>
    <t>MARCELA MARABUCO LOPES</t>
  </si>
  <si>
    <t>MARCELLA VIRGÍNIA CAVALCANTE</t>
  </si>
  <si>
    <t>MARCELLARO</t>
  </si>
  <si>
    <t>MARCOS VINICIUS</t>
  </si>
  <si>
    <t>MARCOS VINICIUS CLEMENTE DA SILVA</t>
  </si>
  <si>
    <t>MARGARAH PAMELLA HOLANDA DE LIMA</t>
  </si>
  <si>
    <t>MARIA ALÍCIA DE LEMOS BRITO</t>
  </si>
  <si>
    <t>MARIA EDUARDA PEREIRA</t>
  </si>
  <si>
    <t>24/08/2001</t>
  </si>
  <si>
    <t>MARIA LAURA BEZERRA DE SOUZA</t>
  </si>
  <si>
    <t>MARIA RAFAELA</t>
  </si>
  <si>
    <t>20/01/1992</t>
  </si>
  <si>
    <t>MARIA RAFAELA DA SILVA</t>
  </si>
  <si>
    <t xml:space="preserve">MARIANA  </t>
  </si>
  <si>
    <t>MARIANA BEZERRA VIDIGAL</t>
  </si>
  <si>
    <t>20/04/1990</t>
  </si>
  <si>
    <t>MARIANA VIDIGAL</t>
  </si>
  <si>
    <t>MARIELLE MERCEDES FIGUEIREDO DE SOUZA</t>
  </si>
  <si>
    <t>31/10/1996</t>
  </si>
  <si>
    <t>MARÍLIA DE OLIVEIRA FREITAS</t>
  </si>
  <si>
    <t>25/05/1994</t>
  </si>
  <si>
    <t>MATHEUS VINICIUS OLIVEIRA E SILVA</t>
  </si>
  <si>
    <t>MICHELLE CAVALCANTI SILVA ALVES</t>
  </si>
  <si>
    <t>30/11/1994</t>
  </si>
  <si>
    <t>MILENA FLORO</t>
  </si>
  <si>
    <t>13/03/1999</t>
  </si>
  <si>
    <t>MONALISA CORDEIRO DOS SANTOS</t>
  </si>
  <si>
    <t>MOO ARQUITETURA E DESIGN LTDA</t>
  </si>
  <si>
    <t>17/01/1996</t>
  </si>
  <si>
    <t xml:space="preserve">MORGANA  </t>
  </si>
  <si>
    <t>24/12/1972</t>
  </si>
  <si>
    <t xml:space="preserve">MORGANA </t>
  </si>
  <si>
    <t>16/05/1984</t>
  </si>
  <si>
    <t>MORGANA DE FRANÇA AGOSTINHO DUQUE</t>
  </si>
  <si>
    <t>MOURA ARAGÃO ARQUITETURA</t>
  </si>
  <si>
    <t>19/09/1986</t>
  </si>
  <si>
    <t>MYLLENA KARINE DA SILVA</t>
  </si>
  <si>
    <t>22/04/1995</t>
  </si>
  <si>
    <t xml:space="preserve">NA MO ARQUITETURA </t>
  </si>
  <si>
    <t>NADIELLY DE SOUSA VIEIRA</t>
  </si>
  <si>
    <t>21/07/1991</t>
  </si>
  <si>
    <t>NATHANNA JESUS</t>
  </si>
  <si>
    <t>14/09/1990</t>
  </si>
  <si>
    <t>NAYARA</t>
  </si>
  <si>
    <t>NAYARA MENESES</t>
  </si>
  <si>
    <t>25/07/1991</t>
  </si>
  <si>
    <t>NAYARA MENEZES</t>
  </si>
  <si>
    <t>NETO VALADARES</t>
  </si>
  <si>
    <t>NILTON BANDEIRA</t>
  </si>
  <si>
    <t>OF CONCRETE</t>
  </si>
  <si>
    <t>OSIAS PEREIRA DE ARRUDA NETO</t>
  </si>
  <si>
    <t>PABLO GUSTAVO FERREIRA DE ARRUDA</t>
  </si>
  <si>
    <t>27/12/1994</t>
  </si>
  <si>
    <t>PEDRO FELIPE</t>
  </si>
  <si>
    <t>28/06/1991</t>
  </si>
  <si>
    <t>PEDRO LEONARDO LIRA DE LUCENA</t>
  </si>
  <si>
    <t>23/06/2000</t>
  </si>
  <si>
    <t>RAISA MYLLENA</t>
  </si>
  <si>
    <t>22/01/2000</t>
  </si>
  <si>
    <t>RAISA MYLLENA CLISMÉRIO SILVA</t>
  </si>
  <si>
    <t>REBECA FALCÃO DOS SANTOS MELO FRANÇA</t>
  </si>
  <si>
    <t>RENATA CARLA DA SILVA ROCHA</t>
  </si>
  <si>
    <t>26/03/1997</t>
  </si>
  <si>
    <t>RENATA LIMA</t>
  </si>
  <si>
    <t>23/04/1980</t>
  </si>
  <si>
    <t>RENATA MENESES</t>
  </si>
  <si>
    <t>21/04/1988</t>
  </si>
  <si>
    <t>RENATA REINAUX DA COSTA REVOREDO</t>
  </si>
  <si>
    <t>24/12/1995</t>
  </si>
  <si>
    <t>RIBEIRO LARANJEIRA</t>
  </si>
  <si>
    <t>RICARDO RIBEIRO LEITE SUDÁRIO</t>
  </si>
  <si>
    <t>RODRIGO MACEDO</t>
  </si>
  <si>
    <t>21/09/1993</t>
  </si>
  <si>
    <t>SAMUEL FERNANDES DE LIMA</t>
  </si>
  <si>
    <t>SÍLVIA CRISTINA PESSÔA DE ARAÚJO</t>
  </si>
  <si>
    <t>20/10/1988</t>
  </si>
  <si>
    <t>SILVIA PESSOA</t>
  </si>
  <si>
    <t>SILVIA RENATA DE LIMA SILVA</t>
  </si>
  <si>
    <t>STEFANIE</t>
  </si>
  <si>
    <t>STEPHANNIE RAYANNA CABRAL BORGES</t>
  </si>
  <si>
    <t>28/11/1994</t>
  </si>
  <si>
    <t>STUDIO NEXO</t>
  </si>
  <si>
    <t>SUEDILSON</t>
  </si>
  <si>
    <t>TACI</t>
  </si>
  <si>
    <t>29/09/1996</t>
  </si>
  <si>
    <t>TAIANE</t>
  </si>
  <si>
    <t>TAIANE FLORÊNCIO BARBOZA</t>
  </si>
  <si>
    <t>29/03/1989</t>
  </si>
  <si>
    <t>THAÍS HOLANDA</t>
  </si>
  <si>
    <t>22/12/1991</t>
  </si>
  <si>
    <t>THAIS PATRICIA RAMOS CHAVES</t>
  </si>
  <si>
    <t>THIANA MELO</t>
  </si>
  <si>
    <t>VANESSA</t>
  </si>
  <si>
    <t>15/07/1991</t>
  </si>
  <si>
    <t>VANESSA PEREIRA BARROS</t>
  </si>
  <si>
    <t>VINÍCIUS CAÍQUE DA SILVA BEZERRA</t>
  </si>
  <si>
    <t>YAN RAURY DE SOUZA BEZERRA</t>
  </si>
  <si>
    <t>27/04/1994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</si>
</sst>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[$-F800]dddd\,&quot; &quot;mmmm&quot; &quot;dd\,&quot; &quot;yyyy"/>
    <numFmt numFmtId="165" formatCode="00000\-000"/>
    <numFmt numFmtId="166" formatCode="00\.000\.000\/0000\-00"/>
    <numFmt numFmtId="167" formatCode="000\.000\.000\-00"/>
    <numFmt numFmtId="168" formatCode="\(00\)&quot; &quot;0\.0000\-0000"/>
  </numFmts>
  <fonts count="13" x14ac:knownFonts="1">
    <font>
      <sz val="11"/>
      <color theme="1"/>
      <name val="Calibri"/>
      <family val="2"/>
      <scheme val="minor"/>
    </font>
    <font>
      <sz val="18"/>
      <color rgb="FF002060"/>
      <name val="Segoe UI"/>
      <family val="2"/>
    </font>
    <font>
      <sz val="18"/>
      <color theme="0"/>
      <name val="Segoe UI"/>
      <family val="2"/>
    </font>
    <font>
      <b/>
      <sz val="48"/>
      <color theme="0"/>
      <name val="Segoe UI"/>
      <family val="2"/>
    </font>
    <font>
      <b/>
      <sz val="18"/>
      <color theme="0"/>
      <name val="Segoe UI"/>
      <family val="2"/>
    </font>
    <font>
      <b/>
      <sz val="18"/>
      <color rgb="FFC00000"/>
      <name val="Segoe UI"/>
      <family val="2"/>
    </font>
    <font>
      <b/>
      <sz val="18"/>
      <color rgb="FF002060"/>
      <name val="Segoe UI"/>
      <family val="2"/>
    </font>
    <font>
      <sz val="12"/>
      <color rgb="FF002060"/>
      <name val="Segoe UI"/>
      <family val="2"/>
    </font>
    <font>
      <b/>
      <sz val="16"/>
      <color rgb="FF002060"/>
      <name val="Segoe UI"/>
      <family val="2"/>
    </font>
    <font>
      <b/>
      <sz val="14"/>
      <color rgb="FF002060"/>
      <name val="Segoe UI"/>
      <family val="2"/>
    </font>
    <font>
      <b/>
      <sz val="16"/>
      <color theme="0"/>
      <name val="Segoe UI"/>
      <family val="2"/>
    </font>
    <font>
      <i/>
      <u/>
      <sz val="18"/>
      <color rgb="FFFF0000"/>
      <name val="Segoe UI"/>
      <family val="2"/>
    </font>
    <font>
      <sz val="18"/>
      <color theme="4" tint="-0.499984740745262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40000"/>
        <bgColor indexed="64"/>
      </patternFill>
    </fill>
  </fills>
  <borders count="4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0" xfId="0" applyFont="1" applyAlignment="1">
      <alignment vertical="center"/>
    </xf>
    <xf numFmtId="0" fontId="1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2" borderId="2" xfId="0" applyFont="1" applyFill="1" applyBorder="1" applyAlignment="1">
      <alignment horizontal="left" vertical="center"/>
    </xf>
    <xf numFmtId="14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top"/>
    </xf>
    <xf numFmtId="0" fontId="1" fillId="0" borderId="0" xfId="0" applyFont="1" applyAlignment="1">
      <alignment horizontal="left" vertical="center"/>
    </xf>
    <xf numFmtId="16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2" borderId="0" xfId="0" applyFont="1" applyFill="1" applyAlignment="1">
      <alignment horizontal="left" vertical="center"/>
    </xf>
    <xf numFmtId="0" fontId="4" fillId="2" borderId="2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vertical="center"/>
    </xf>
    <xf numFmtId="0" fontId="2" fillId="4" borderId="2" xfId="0" applyFont="1" applyFill="1" applyBorder="1" applyAlignment="1">
      <alignment vertical="top" wrapText="1"/>
    </xf>
    <xf numFmtId="0" fontId="2" fillId="4" borderId="2" xfId="0" applyFont="1" applyFill="1" applyBorder="1" applyAlignment="1">
      <alignment vertical="top"/>
    </xf>
    <xf numFmtId="0" fontId="1" fillId="4" borderId="0" xfId="0" applyFont="1" applyFill="1" applyAlignment="1">
      <alignment vertical="center"/>
    </xf>
    <xf numFmtId="1" fontId="1" fillId="0" borderId="0" xfId="0" applyNumberFormat="1" applyFont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3" fontId="5" fillId="3" borderId="2" xfId="0" applyNumberFormat="1" applyFont="1" applyFill="1" applyBorder="1" applyAlignment="1">
      <alignment horizontal="center" vertical="center"/>
    </xf>
    <xf numFmtId="16" fontId="6" fillId="3" borderId="3" xfId="0" applyNumberFormat="1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top"/>
    </xf>
    <xf numFmtId="16" fontId="2" fillId="4" borderId="2" xfId="0" applyNumberFormat="1" applyFont="1" applyFill="1" applyBorder="1" applyAlignment="1">
      <alignment vertical="top"/>
    </xf>
    <xf numFmtId="0" fontId="9" fillId="0" borderId="0" xfId="0" applyFont="1" applyAlignment="1">
      <alignment horizontal="center" vertical="center"/>
    </xf>
    <xf numFmtId="3" fontId="1" fillId="0" borderId="0" xfId="0" applyNumberFormat="1" applyFont="1" applyAlignment="1">
      <alignment vertical="center"/>
    </xf>
    <xf numFmtId="0" fontId="2" fillId="0" borderId="0" xfId="0" applyFont="1" applyAlignment="1">
      <alignment vertical="center"/>
    </xf>
    <xf numFmtId="164" fontId="2" fillId="2" borderId="0" xfId="0" applyNumberFormat="1" applyFont="1" applyFill="1" applyAlignment="1">
      <alignment vertical="center"/>
    </xf>
    <xf numFmtId="0" fontId="2" fillId="2" borderId="0" xfId="0" applyFont="1" applyFill="1" applyAlignment="1">
      <alignment vertical="center"/>
    </xf>
    <xf numFmtId="164" fontId="4" fillId="2" borderId="0" xfId="0" applyNumberFormat="1" applyFont="1" applyFill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16" fontId="6" fillId="3" borderId="2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4" borderId="0" xfId="0" applyFont="1" applyFill="1" applyAlignment="1">
      <alignment horizontal="center" vertical="top" wrapText="1"/>
    </xf>
    <xf numFmtId="14" fontId="1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4" fontId="12" fillId="2" borderId="0" xfId="0" applyNumberFormat="1" applyFont="1" applyFill="1" applyAlignment="1">
      <alignment vertical="center"/>
    </xf>
    <xf numFmtId="165" fontId="6" fillId="3" borderId="3" xfId="0" applyNumberFormat="1" applyFont="1" applyFill="1" applyBorder="1" applyAlignment="1">
      <alignment horizontal="center" vertical="center"/>
    </xf>
    <xf numFmtId="0" fontId="2" fillId="0" borderId="2" xfId="0" applyFont="1" applyBorder="1" applyAlignment="1">
      <alignment horizontal="left" vertical="center" wrapText="1"/>
    </xf>
    <xf numFmtId="0" fontId="2" fillId="0" borderId="0" xfId="0" applyFont="1" applyAlignment="1">
      <alignment vertical="center" wrapText="1"/>
    </xf>
    <xf numFmtId="0" fontId="7" fillId="0" borderId="0" xfId="0" applyFont="1" applyAlignment="1">
      <alignment horizontal="left" vertical="center"/>
    </xf>
    <xf numFmtId="0" fontId="8" fillId="3" borderId="0" xfId="0" applyFont="1" applyFill="1" applyAlignment="1">
      <alignment vertical="center"/>
    </xf>
    <xf numFmtId="0" fontId="4" fillId="2" borderId="2" xfId="0" applyFont="1" applyFill="1" applyBorder="1" applyAlignment="1">
      <alignment horizontal="left" vertical="center" wrapText="1"/>
    </xf>
    <xf numFmtId="16" fontId="6" fillId="3" borderId="3" xfId="0" applyNumberFormat="1" applyFont="1" applyFill="1" applyBorder="1" applyAlignment="1">
      <alignment horizontal="left" vertical="center"/>
    </xf>
    <xf numFmtId="14" fontId="6" fillId="3" borderId="2" xfId="0" applyNumberFormat="1" applyFont="1" applyFill="1" applyBorder="1" applyAlignment="1">
      <alignment horizontal="left" vertical="center"/>
    </xf>
    <xf numFmtId="166" fontId="8" fillId="3" borderId="2" xfId="0" applyNumberFormat="1" applyFont="1" applyFill="1" applyBorder="1" applyAlignment="1">
      <alignment horizontal="left" vertical="center"/>
    </xf>
    <xf numFmtId="167" fontId="8" fillId="3" borderId="1" xfId="0" applyNumberFormat="1" applyFont="1" applyFill="1" applyBorder="1" applyAlignment="1">
      <alignment horizontal="left" vertical="center"/>
    </xf>
    <xf numFmtId="3" fontId="1" fillId="3" borderId="2" xfId="0" applyNumberFormat="1" applyFont="1" applyFill="1" applyBorder="1" applyAlignment="1">
      <alignment horizontal="center" vertical="center"/>
    </xf>
    <xf numFmtId="14" fontId="8" fillId="3" borderId="2" xfId="0" quotePrefix="1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0" fillId="2" borderId="0" xfId="0" applyNumberFormat="1" applyFont="1" applyFill="1" applyAlignment="1">
      <alignment horizontal="right" vertical="center"/>
    </xf>
    <xf numFmtId="0" fontId="8" fillId="3" borderId="2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168" fontId="8" fillId="3" borderId="2" xfId="0" applyNumberFormat="1" applyFont="1" applyFill="1" applyBorder="1" applyAlignment="1">
      <alignment horizontal="left" vertical="center"/>
    </xf>
    <xf numFmtId="168" fontId="8" fillId="3" borderId="1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6" fillId="3" borderId="0" xfId="0" applyFont="1" applyFill="1" applyAlignment="1">
      <alignment horizontal="left" vertical="center"/>
    </xf>
    <xf numFmtId="0" fontId="6" fillId="3" borderId="1" xfId="0" applyFont="1" applyFill="1" applyBorder="1" applyAlignment="1">
      <alignment horizontal="left" vertical="center"/>
    </xf>
    <xf numFmtId="0" fontId="8" fillId="3" borderId="0" xfId="0" applyFont="1" applyFill="1" applyAlignment="1">
      <alignment horizontal="left" vertical="center"/>
    </xf>
    <xf numFmtId="14" fontId="1" fillId="0" borderId="0" xfId="0" applyNumberFormat="1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</cellXfs>
  <cellStyles count="1">
    <cellStyle name="Normal" xfId="0" builtinId="0"/>
  </cellStyles>
  <dxfs count="61">
    <dxf>
      <font>
        <b/>
        <i val="0"/>
        <color theme="7" tint="-0.499984740745262"/>
      </font>
      <fill>
        <patternFill>
          <bgColor rgb="FFFFC000"/>
        </patternFill>
      </fill>
    </dxf>
    <dxf>
      <font>
        <b/>
        <i val="0"/>
        <color theme="9" tint="-0.499984740745262"/>
      </font>
      <fill>
        <patternFill>
          <bgColor theme="9" tint="0.39994506668294322"/>
        </patternFill>
      </fill>
    </dxf>
    <dxf>
      <font>
        <b/>
        <i val="0"/>
        <color theme="7" tint="-0.499984740745262"/>
      </font>
      <fill>
        <patternFill>
          <bgColor rgb="FFFFC000"/>
        </patternFill>
      </fill>
    </dxf>
    <dxf>
      <font>
        <b/>
        <i val="0"/>
        <color theme="7" tint="-0.499984740745262"/>
      </font>
      <fill>
        <patternFill>
          <bgColor rgb="FFFFC000"/>
        </patternFill>
      </fill>
    </dxf>
    <dxf>
      <font>
        <b/>
        <i val="0"/>
        <color theme="7" tint="-0.499984740745262"/>
      </font>
      <fill>
        <patternFill>
          <bgColor rgb="FFFFC000"/>
        </patternFill>
      </fill>
    </dxf>
    <dxf>
      <font>
        <color theme="0"/>
      </font>
    </dxf>
    <dxf>
      <font>
        <b/>
        <i val="0"/>
        <color theme="7" tint="-0.499984740745262"/>
      </font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Segoe U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3" formatCode="#,##0"/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fill>
        <patternFill patternType="solid">
          <fgColor indexed="64"/>
          <bgColor rgb="FFB40000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2060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fill>
        <patternFill patternType="solid">
          <fgColor indexed="64"/>
          <bgColor rgb="FFB40000"/>
        </patternFill>
      </fill>
      <alignment horizontal="general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/>
        <vertAlign val="baseline"/>
        <sz val="18"/>
        <color rgb="FFFF000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Segoe UI"/>
        <family val="2"/>
        <scheme val="none"/>
      </font>
      <alignment horizontal="general" vertical="top" textRotation="0" wrapText="0" indent="0" justifyLastLine="0" shrinkToFit="0" readingOrder="0"/>
    </dxf>
    <dxf>
      <fill>
        <patternFill>
          <bgColor theme="0" tint="-0.14996795556505021"/>
        </patternFill>
      </fill>
    </dxf>
    <dxf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fgColor theme="0"/>
          <bgColor theme="4" tint="-0.499984740745262"/>
        </patternFill>
      </fill>
      <border>
        <left style="thin">
          <color auto="1"/>
        </left>
        <right style="thin">
          <color auto="1"/>
        </right>
      </border>
    </dxf>
  </dxfs>
  <tableStyles count="1" defaultTableStyle="TableStyleMedium2" defaultPivotStyle="PivotStyleLight16">
    <tableStyle name="CONTATO_ARQUITETO" pivot="0" count="3" xr9:uid="{BB2BF78B-6C9A-4671-AA00-AA44706B6683}">
      <tableStyleElement type="headerRow" dxfId="60"/>
      <tableStyleElement type="firstRowStripe" dxfId="59"/>
      <tableStyleElement type="secondRowStripe" dxfId="58"/>
    </tableStyle>
  </tableStyles>
  <colors>
    <mruColors>
      <color rgb="FFB4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MENU PRINCIPAL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ARQUITETO!A1"/><Relationship Id="rId1" Type="http://schemas.openxmlformats.org/officeDocument/2006/relationships/hyperlink" Target="#CONFIGURACOES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457200</xdr:colOff>
      <xdr:row>0</xdr:row>
      <xdr:rowOff>158969</xdr:rowOff>
    </xdr:from>
    <xdr:to>
      <xdr:col>26</xdr:col>
      <xdr:colOff>217200</xdr:colOff>
      <xdr:row>0</xdr:row>
      <xdr:rowOff>698969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048625" y="158969"/>
          <a:ext cx="2808000" cy="5400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  <a:r>
            <a:rPr lang="pt-BR" sz="2400" b="1" baseline="0">
              <a:latin typeface="Segoe UI" panose="020B0502040204020203" pitchFamily="34" charset="0"/>
              <a:cs typeface="Segoe UI" panose="020B0502040204020203" pitchFamily="34" charset="0"/>
            </a:rPr>
            <a:t> PRINCIPAL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5362575</xdr:colOff>
      <xdr:row>0</xdr:row>
      <xdr:rowOff>174915</xdr:rowOff>
    </xdr:from>
    <xdr:to>
      <xdr:col>5</xdr:col>
      <xdr:colOff>398175</xdr:colOff>
      <xdr:row>0</xdr:row>
      <xdr:rowOff>714915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476875" y="174915"/>
          <a:ext cx="2808000" cy="5400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Segoe UI" panose="020B0502040204020203" pitchFamily="34" charset="0"/>
              <a:cs typeface="Segoe UI" panose="020B0502040204020203" pitchFamily="34" charset="0"/>
            </a:rPr>
            <a:t>CONFIGURAÇÕES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 fPrintsWithSheet="0"/>
  </xdr:twoCellAnchor>
  <xdr:twoCellAnchor editAs="absolute">
    <xdr:from>
      <xdr:col>0</xdr:col>
      <xdr:colOff>114299</xdr:colOff>
      <xdr:row>2</xdr:row>
      <xdr:rowOff>47625</xdr:rowOff>
    </xdr:from>
    <xdr:to>
      <xdr:col>2</xdr:col>
      <xdr:colOff>1350674</xdr:colOff>
      <xdr:row>3</xdr:row>
      <xdr:rowOff>254250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14299" y="981075"/>
          <a:ext cx="1350675" cy="54000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Segoe UI" panose="020B0502040204020203" pitchFamily="34" charset="0"/>
              <a:cs typeface="Segoe UI" panose="020B0502040204020203" pitchFamily="34" charset="0"/>
            </a:rPr>
            <a:t>NOVO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 fPrintsWithSheet="0"/>
  </xdr:twoCellAnchor>
  <xdr:twoCellAnchor editAs="absolute">
    <xdr:from>
      <xdr:col>2</xdr:col>
      <xdr:colOff>1409700</xdr:colOff>
      <xdr:row>2</xdr:row>
      <xdr:rowOff>57150</xdr:rowOff>
    </xdr:from>
    <xdr:to>
      <xdr:col>2</xdr:col>
      <xdr:colOff>3286125</xdr:colOff>
      <xdr:row>3</xdr:row>
      <xdr:rowOff>263775</xdr:rowOff>
    </xdr:to>
    <xdr:sp macro="[0]!telaArquitet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24000" y="990600"/>
          <a:ext cx="1876425" cy="5400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Segoe UI" panose="020B0502040204020203" pitchFamily="34" charset="0"/>
              <a:cs typeface="Segoe UI" panose="020B0502040204020203" pitchFamily="34" charset="0"/>
            </a:rPr>
            <a:t>CADASTRO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73017</xdr:colOff>
      <xdr:row>0</xdr:row>
      <xdr:rowOff>152400</xdr:rowOff>
    </xdr:from>
    <xdr:to>
      <xdr:col>8</xdr:col>
      <xdr:colOff>1513650</xdr:colOff>
      <xdr:row>0</xdr:row>
      <xdr:rowOff>692400</xdr:rowOff>
    </xdr:to>
    <xdr:sp macro="[0]!telaMenuPrincip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5672850" y="152400"/>
          <a:ext cx="2816467" cy="5400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  <a:r>
            <a:rPr lang="pt-BR" sz="2400" b="1" baseline="0">
              <a:latin typeface="Segoe UI" panose="020B0502040204020203" pitchFamily="34" charset="0"/>
              <a:cs typeface="Segoe UI" panose="020B0502040204020203" pitchFamily="34" charset="0"/>
            </a:rPr>
            <a:t> PRINCIPAL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 fPrintsWithSheet="0"/>
  </xdr:twoCellAnchor>
  <xdr:twoCellAnchor editAs="absolute">
    <xdr:from>
      <xdr:col>6</xdr:col>
      <xdr:colOff>188382</xdr:colOff>
      <xdr:row>0</xdr:row>
      <xdr:rowOff>152400</xdr:rowOff>
    </xdr:from>
    <xdr:to>
      <xdr:col>6</xdr:col>
      <xdr:colOff>2196040</xdr:colOff>
      <xdr:row>0</xdr:row>
      <xdr:rowOff>692400</xdr:rowOff>
    </xdr:to>
    <xdr:sp macro="[0]!salvarArquitet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3555132" y="152400"/>
          <a:ext cx="2007658" cy="54000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Segoe UI" panose="020B0502040204020203" pitchFamily="34" charset="0"/>
              <a:cs typeface="Segoe UI" panose="020B0502040204020203" pitchFamily="34" charset="0"/>
            </a:rPr>
            <a:t>SALVAR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 fPrintsWithSheet="0"/>
  </xdr:twoCellAnchor>
  <xdr:twoCellAnchor editAs="absolute">
    <xdr:from>
      <xdr:col>1</xdr:col>
      <xdr:colOff>1</xdr:colOff>
      <xdr:row>8</xdr:row>
      <xdr:rowOff>95251</xdr:rowOff>
    </xdr:from>
    <xdr:to>
      <xdr:col>1</xdr:col>
      <xdr:colOff>1276351</xdr:colOff>
      <xdr:row>9</xdr:row>
      <xdr:rowOff>313135</xdr:rowOff>
    </xdr:to>
    <xdr:sp macro="[0]!trocarFotoArquitet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13110" y="2613423"/>
          <a:ext cx="1276350" cy="342900"/>
        </a:xfrm>
        <a:prstGeom prst="roundRect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Segoe UI" panose="020B0502040204020203" pitchFamily="34" charset="0"/>
              <a:cs typeface="Segoe UI" panose="020B0502040204020203" pitchFamily="34" charset="0"/>
            </a:rPr>
            <a:t>TROCAR FOTO</a:t>
          </a:r>
        </a:p>
      </xdr:txBody>
    </xdr:sp>
    <xdr:clientData fPrintsWithSheet="0"/>
  </xdr:twoCellAnchor>
  <xdr:twoCellAnchor editAs="absolute">
    <xdr:from>
      <xdr:col>1</xdr:col>
      <xdr:colOff>4358</xdr:colOff>
      <xdr:row>10</xdr:row>
      <xdr:rowOff>15876</xdr:rowOff>
    </xdr:from>
    <xdr:to>
      <xdr:col>1</xdr:col>
      <xdr:colOff>1280708</xdr:colOff>
      <xdr:row>11</xdr:row>
      <xdr:rowOff>25402</xdr:rowOff>
    </xdr:to>
    <xdr:sp macro="[0]!salvarFotoArquiteto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17467" y="2992439"/>
          <a:ext cx="1276350" cy="342901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Segoe UI" panose="020B0502040204020203" pitchFamily="34" charset="0"/>
              <a:cs typeface="Segoe UI" panose="020B0502040204020203" pitchFamily="34" charset="0"/>
            </a:rPr>
            <a:t>SALVAR FOTO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1</xdr:col>
          <xdr:colOff>1276350</xdr:colOff>
          <xdr:row>8</xdr:row>
          <xdr:rowOff>9525</xdr:rowOff>
        </xdr:to>
        <xdr:sp macro="" textlink="">
          <xdr:nvSpPr>
            <xdr:cNvPr id="3073" name="fotoArquiteto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44BD7A7-491D-4368-A464-C127D11F8485}" name="VENDA" displayName="VENDA" ref="B4:B5" totalsRowShown="0" headerRowDxfId="57" dataDxfId="56">
  <autoFilter ref="B4:B5" xr:uid="{C92855F6-CF37-4A70-B067-A9A1EE829386}"/>
  <tableColumns count="1">
    <tableColumn id="1" xr3:uid="{D6431CEC-4602-46AE-B946-9616470B411C}" name="VENDA" dataDxfId="55"/>
  </tableColumns>
  <tableStyleInfo name="CONTATO_ARQUITETO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C1897C-27F6-4172-AB73-E29E4A76F986}" name="RETORNO" displayName="RETORNO" ref="D4:D6" totalsRowShown="0" headerRowDxfId="54" dataDxfId="53">
  <autoFilter ref="D4:D6" xr:uid="{83D23519-3D19-4BCF-82A3-7E3683D533EA}"/>
  <tableColumns count="1">
    <tableColumn id="1" xr3:uid="{15A257C2-8BCB-4EEC-9768-997DF9DC2D0E}" name="RETORNO" dataDxfId="52"/>
  </tableColumns>
  <tableStyleInfo name="CONTATO_ARQUITETO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C656D95-8680-4EB3-BB5F-8120546B09C8}" name="PENDENCIA" displayName="PENDENCIA" ref="F4:F6" totalsRowShown="0" headerRowDxfId="51" dataDxfId="50">
  <autoFilter ref="F4:F6" xr:uid="{CCFF95B0-B3BD-4BE8-B33D-942C34304DAD}"/>
  <tableColumns count="1">
    <tableColumn id="1" xr3:uid="{7C010B9A-977B-4D3B-B29B-3B59154E8EBD}" name="PENDENCIA" dataDxfId="49"/>
  </tableColumns>
  <tableStyleInfo name="CONTATO_ARQUITETO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3EEFF-9339-4249-88CC-5090DA7085E6}" name="ALERTA_PONTUACAO" displayName="ALERTA_PONTUACAO" ref="H4:H6" totalsRowShown="0" headerRowDxfId="48" dataDxfId="47">
  <autoFilter ref="H4:H6" xr:uid="{86721D90-0B95-41BD-9A9E-023090120BBC}"/>
  <tableColumns count="1">
    <tableColumn id="1" xr3:uid="{EEC4B307-2428-4FA1-8048-D05F12727C71}" name="ALERTA PONTUAÇÃO" dataDxfId="46"/>
  </tableColumns>
  <tableStyleInfo name="CONTATO_ARQUITETO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40FEFD3-D163-43D7-A7C6-DDEE168D8914}" name="SELECAO" displayName="SELECAO" ref="J4:J5" totalsRowShown="0" headerRowDxfId="45" dataDxfId="44">
  <autoFilter ref="J4:J5" xr:uid="{9E993ACC-962B-47F3-9B29-3D35FA469646}"/>
  <tableColumns count="1">
    <tableColumn id="1" xr3:uid="{D997B094-03EB-4217-9846-E80ED927986A}" name="SELEÇÃO" dataDxfId="43"/>
  </tableColumns>
  <tableStyleInfo name="CONTATO_ARQUITETO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E979395-E782-450C-814D-9775BC10DE58}" name="COD" displayName="COD" ref="L4:L5" totalsRowShown="0" headerRowDxfId="42" dataDxfId="41">
  <autoFilter ref="L4:L5" xr:uid="{CBA4CFD4-9922-4009-9375-37E8F9F70DC9}"/>
  <tableColumns count="1">
    <tableColumn id="1" xr3:uid="{1EADDC71-7591-4BFC-A245-7B3A403CB6C2}" name="COD" dataDxfId="40"/>
  </tableColumns>
  <tableStyleInfo name="CONTATO_ARQUITETO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6F53FB0-57A0-4B9D-BD3E-801277BFA83C}" name="ULTIMO_CONTATO" displayName="ULTIMO_CONTATO" ref="N4:N5" totalsRowShown="0" headerRowDxfId="39" dataDxfId="38">
  <autoFilter ref="N4:N5" xr:uid="{2EDF7F8D-00F3-4D87-A8E1-66C3A48E0529}"/>
  <tableColumns count="1">
    <tableColumn id="1" xr3:uid="{F7255F7C-BC71-4FA0-B8AB-FA5B65F9C0EF}" name="ALERTA ÚLTIMO CONTATO" dataDxfId="37"/>
  </tableColumns>
  <tableStyleInfo name="CONTATO_ARQUITETO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1F06E8C-DAF7-4C55-9656-FFF91D6DEC03}" name="MENU_PRINCIPAL" displayName="MENU_PRINCIPAL" ref="B5:L232" totalsRowShown="0" headerRowDxfId="36" dataDxfId="35">
  <autoFilter ref="B5:L232" xr:uid="{A04FDB65-1612-45FD-AF2B-D0999EEC5FBB}"/>
  <sortState ref="B6:L6">
    <sortCondition ref="C5:C6"/>
  </sortState>
  <tableColumns count="11">
    <tableColumn id="2" xr3:uid="{0BC4024C-3BEC-4A5C-975E-F30DC224D0B9}" name="COD" dataDxfId="34"/>
    <tableColumn id="3" xr3:uid="{F6B35D81-AAA6-4FAC-B771-3D8FB279621B}" name="NOME" dataDxfId="33"/>
    <tableColumn id="4" xr3:uid="{B468B0FE-973A-4715-9827-0B19B9785B8B}" name="ANIVERSÁRIO" dataDxfId="32"/>
    <tableColumn id="1" xr3:uid="{82BD992F-D55E-48CE-A6E7-84A79EE2915C}" name="aux_data" dataDxfId="31">
      <calculatedColumnFormula>TEXT($D6,"MMMM")</calculatedColumnFormula>
    </tableColumn>
    <tableColumn id="5" xr3:uid="{FAAA9B95-5A84-4E70-9EC9-C57F53B51D1C}" name="RETORNO" dataDxfId="30"/>
    <tableColumn id="6" xr3:uid="{1DBDB386-BEA6-4EC6-A81F-C5C04433E7A2}" name="PENDÊNCIA" dataDxfId="29"/>
    <tableColumn id="10" xr3:uid="{6EF6E8C2-2359-4990-A21F-14953D81D8D8}" name="ÚLTIMO CONTATO" dataDxfId="28"/>
    <tableColumn id="11" xr3:uid="{E305A3CF-203E-4FF2-BD2B-6162E6499BF5}" name="aux_data_contato" dataDxfId="27">
      <calculatedColumnFormula>IF($H6 = "",ULTIMO_CONTATO[ALERTA ÚLTIMO CONTATO]-1,$N$1-$H6)</calculatedColumnFormula>
    </tableColumn>
    <tableColumn id="7" xr3:uid="{116EE6B9-319C-465E-9B41-D936CE2B318F}" name="VENDAS" dataDxfId="26"/>
    <tableColumn id="8" xr3:uid="{8F74FCF9-FED0-4409-9777-104BE6918588}" name="PONTUAÇÃO" dataDxfId="25"/>
    <tableColumn id="9" xr3:uid="{E92418BC-ACCF-4516-9BF8-A2F601B57154}" name="SELEÇÃO" dataDxfId="24">
      <calculatedColumnFormula>SELECAO[SELEÇÃO]</calculatedColumnFormula>
    </tableColumn>
  </tableColumns>
  <tableStyleInfo name="CONTATO_ARQUITETO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50FBD73-AAC6-4FC7-80FF-C58467D93FE3}" name="CONTATOS" displayName="CONTATOS" ref="B16:F17" headerRowDxfId="23" dataDxfId="22">
  <autoFilter ref="B16:F17" xr:uid="{7AD0F12B-73D2-4456-AC11-829989072E8B}"/>
  <sortState ref="B13:E16">
    <sortCondition ref="B16"/>
  </sortState>
  <tableColumns count="5">
    <tableColumn id="1" xr3:uid="{63CDB37A-A05D-41F1-8B43-2FDD81648E3A}" name="DATA CONTATO" totalsRowLabel="Total" dataDxfId="11" totalsRowDxfId="21"/>
    <tableColumn id="2" xr3:uid="{3FF48F97-3C8A-40DD-BE74-2ADC4053A32F}" name="RELATO CONTATO" dataDxfId="10" totalsRowDxfId="20"/>
    <tableColumn id="3" xr3:uid="{CB2B0984-7342-4BBA-A76D-4ABC91A599C0}" name="DATA RETORNO" dataDxfId="9" totalsRowDxfId="19"/>
    <tableColumn id="4" xr3:uid="{46746B00-79D6-453F-810E-28BB36E7D84A}" name="OBSERVAÇÃO" dataDxfId="7" totalsRowDxfId="18"/>
    <tableColumn id="5" xr3:uid="{034EF637-9D57-4367-87F7-761DE477E4E1}" name="COD CONTATO" totalsRowFunction="sum" dataDxfId="8" totalsRowDxfId="17">
      <calculatedColumnFormula>COD[COD]</calculatedColumnFormula>
    </tableColumn>
  </tableColumns>
  <tableStyleInfo name="CONTATO_ARQUITETO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DF20FA-9D27-446B-B7D1-710BACA111F4}" name="VENDA_ARQUITETOS" displayName="VENDA_ARQUITETOS" ref="H16:K17" totalsRowShown="0" headerRowDxfId="16">
  <autoFilter ref="H16:K17" xr:uid="{F264F020-D00A-42F5-BA05-62B58F520274}"/>
  <tableColumns count="4">
    <tableColumn id="1" xr3:uid="{5DA15518-4F54-437E-8064-B559734FD612}" name="ROMANEIO" dataDxfId="15"/>
    <tableColumn id="2" xr3:uid="{11F77619-52D6-4086-B100-A0DB5CFF69D1}" name="PONTUAÇÃO" dataDxfId="14"/>
    <tableColumn id="3" xr3:uid="{5FB268CF-D8E2-4F95-BAD6-595BBDE7BDD3}" name="VENDA" dataDxfId="13">
      <calculatedColumnFormula>$M$17</calculatedColumnFormula>
    </tableColumn>
    <tableColumn id="4" xr3:uid="{33936AD3-2049-41F0-8D14-62189EA3143D}" name="COD VENDA" dataDxfId="12">
      <calculatedColumnFormula>COD[COD]</calculatedColumnFormula>
    </tableColumn>
  </tableColumns>
  <tableStyleInfo name="CONTATO_ARQUITETO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a:spPr>
      <a:bodyPr vertOverflow="clip" horzOverflow="clip" rtlCol="0" anchor="ctr"/>
      <a:lstStyle>
        <a:defPPr algn="ctr">
          <a:defRPr sz="1200" b="1">
            <a:latin typeface="Segoe UI" panose="020B0502040204020203" pitchFamily="34" charset="0"/>
            <a:cs typeface="Segoe UI" panose="020B0502040204020203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9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544EC-08E0-4188-AEAC-118CAA5EC489}">
  <sheetPr codeName="PlanConfiguracoes"/>
  <dimension ref="B1:N6"/>
  <sheetViews>
    <sheetView showGridLines="0" zoomScaleNormal="100" workbookViewId="0"/>
  </sheetViews>
  <sheetFormatPr defaultRowHeight="26.25" x14ac:dyDescent="0.25"/>
  <cols>
    <col min="1" max="1" width="1.7109375" style="1" customWidth="1"/>
    <col min="2" max="2" width="14.140625" style="1" hidden="1" customWidth="1"/>
    <col min="3" max="3" width="1.7109375" style="1" hidden="1" customWidth="1"/>
    <col min="4" max="4" width="18.42578125" style="1" hidden="1" customWidth="1"/>
    <col min="5" max="5" width="1.7109375" style="1" hidden="1" customWidth="1"/>
    <col min="6" max="6" width="23.7109375" style="1" hidden="1" customWidth="1"/>
    <col min="7" max="7" width="1.7109375" style="1" hidden="1" customWidth="1"/>
    <col min="8" max="8" width="25.140625" style="1" customWidth="1"/>
    <col min="9" max="9" width="1.7109375" style="1" customWidth="1"/>
    <col min="10" max="10" width="21" style="1" hidden="1" customWidth="1"/>
    <col min="11" max="11" width="1.7109375" style="1" hidden="1" customWidth="1"/>
    <col min="12" max="12" width="10.28515625" style="1" hidden="1" customWidth="1"/>
    <col min="13" max="13" width="1.7109375" style="1" hidden="1" customWidth="1"/>
    <col min="14" max="14" width="28.7109375" style="1" customWidth="1"/>
    <col min="15" max="15" width="1.7109375" style="1" customWidth="1"/>
    <col min="16" max="16384" width="9.140625" style="1"/>
  </cols>
  <sheetData>
    <row r="1" spans="2:14" s="2" customFormat="1" ht="69" x14ac:dyDescent="0.25">
      <c r="B1" s="3"/>
      <c r="H1" s="3" t="s">
        <v>17</v>
      </c>
    </row>
    <row r="2" spans="2:14" s="22" customFormat="1" ht="5.0999999999999996" customHeight="1" x14ac:dyDescent="0.25"/>
    <row r="4" spans="2:14" ht="48.75" customHeight="1" x14ac:dyDescent="0.25">
      <c r="B4" s="10" t="s">
        <v>16</v>
      </c>
      <c r="D4" s="10" t="s">
        <v>11</v>
      </c>
      <c r="F4" s="10" t="s">
        <v>22</v>
      </c>
      <c r="H4" s="48" t="s">
        <v>29</v>
      </c>
      <c r="J4" s="33" t="s">
        <v>31</v>
      </c>
      <c r="L4" s="33" t="s">
        <v>23</v>
      </c>
      <c r="N4" s="48" t="s">
        <v>38</v>
      </c>
    </row>
    <row r="5" spans="2:14" x14ac:dyDescent="0.25">
      <c r="B5" s="13">
        <v>1</v>
      </c>
      <c r="D5" s="13" t="s">
        <v>9</v>
      </c>
      <c r="F5" s="13" t="s">
        <v>9</v>
      </c>
      <c r="H5" s="32">
        <v>60000</v>
      </c>
      <c r="J5" s="1" t="s">
        <v>32</v>
      </c>
      <c r="L5" s="13">
        <v>0</v>
      </c>
      <c r="N5" s="13">
        <v>15</v>
      </c>
    </row>
    <row r="6" spans="2:14" x14ac:dyDescent="0.25">
      <c r="D6" s="13" t="s">
        <v>21</v>
      </c>
      <c r="F6" s="13" t="s">
        <v>21</v>
      </c>
      <c r="H6" s="32">
        <v>45000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copies="4" r:id="rId1"/>
  <drawing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E67CC-CF27-4008-8029-8B32705FC9F5}">
  <sheetPr codeName="PlanMenuPrincipal"/>
  <dimension ref="A1:P232"/>
  <sheetViews>
    <sheetView showGridLines="0" tabSelected="1" zoomScaleNormal="100" workbookViewId="0">
      <pane ySplit="5" topLeftCell="A6" activePane="bottomLeft" state="frozen"/>
      <selection pane="bottomLeft"/>
    </sheetView>
  </sheetViews>
  <sheetFormatPr defaultRowHeight="26.25" x14ac:dyDescent="0.25"/>
  <cols>
    <col min="1" max="1" width="1.7109375" style="1" customWidth="1"/>
    <col min="2" max="2" width="10.28515625" style="1" hidden="1" customWidth="1"/>
    <col min="3" max="3" width="89.5703125" style="1" bestFit="1" customWidth="1"/>
    <col min="4" max="4" width="27" style="1" customWidth="1"/>
    <col min="5" max="5" width="27" style="1" hidden="1" customWidth="1"/>
    <col min="6" max="6" width="20" style="1" customWidth="1"/>
    <col min="7" max="8" width="23" style="1" customWidth="1"/>
    <col min="9" max="9" width="17.28515625" style="1" hidden="1" customWidth="1"/>
    <col min="10" max="10" width="17.42578125" style="1" customWidth="1"/>
    <col min="11" max="11" width="24.85546875" style="1" customWidth="1"/>
    <col min="12" max="12" width="24.85546875" style="1" bestFit="1" customWidth="1"/>
    <col min="13" max="13" width="1.7109375" style="1" customWidth="1"/>
    <col min="14" max="14" width="19.28515625" style="1" bestFit="1" customWidth="1"/>
    <col min="15" max="15" width="9.140625" style="1"/>
    <col min="16" max="16" width="9.140625" style="1" customWidth="1"/>
    <col min="17" max="16384" width="9.140625" style="1"/>
  </cols>
  <sheetData>
    <row r="1" spans="1:16" s="35" customFormat="1" ht="69" x14ac:dyDescent="0.25">
      <c r="A1" s="3"/>
      <c r="B1" s="3"/>
      <c r="C1" s="3" t="s">
        <v>18</v>
      </c>
      <c r="D1" s="34"/>
      <c r="E1" s="34"/>
      <c r="F1" s="34"/>
      <c r="G1" s="59">
        <f ca="1">TODAY()</f>
        <v>45534</v>
      </c>
      <c r="H1" s="59"/>
      <c r="I1" s="59"/>
      <c r="J1" s="59"/>
      <c r="K1" s="59"/>
      <c r="L1" s="45" t="str">
        <f ca="1">TEXT(G1,"MMMM")</f>
        <v>agosto</v>
      </c>
      <c r="N1" s="45">
        <f ca="1">G1</f>
        <v>45534</v>
      </c>
      <c r="P1" s="36"/>
    </row>
    <row r="2" spans="1:16" s="22" customFormat="1" ht="5.0999999999999996" customHeight="1" x14ac:dyDescent="0.25"/>
    <row r="3" spans="1:16" x14ac:dyDescent="0.25">
      <c r="A3" s="33"/>
    </row>
    <row r="5" spans="1:16" ht="52.5" x14ac:dyDescent="0.25">
      <c r="B5" s="37" t="s">
        <v>23</v>
      </c>
      <c r="C5" s="38" t="s">
        <v>25</v>
      </c>
      <c r="D5" s="33" t="s">
        <v>5</v>
      </c>
      <c r="E5" s="43" t="s">
        <v>28</v>
      </c>
      <c r="F5" s="37" t="s">
        <v>11</v>
      </c>
      <c r="G5" s="37" t="s">
        <v>10</v>
      </c>
      <c r="H5" s="47" t="s">
        <v>7</v>
      </c>
      <c r="I5" s="47" t="s">
        <v>33</v>
      </c>
      <c r="J5" s="37" t="s">
        <v>14</v>
      </c>
      <c r="K5" s="37" t="s">
        <v>15</v>
      </c>
      <c r="L5" s="33" t="s">
        <v>31</v>
      </c>
    </row>
    <row r="6" spans="1:16" s="33" customFormat="1" x14ac:dyDescent="0.25">
      <c r="A6" s="1"/>
      <c r="B6" s="13">
        <v>1</v>
      </c>
      <c r="C6" s="1" t="s">
        <v>40</v>
      </c>
      <c r="D6" s="9"/>
      <c r="E6" s="9" t="str">
        <f t="shared" ref="E6" si="0">TEXT($D6,"MMMM")</f>
        <v>janeiro</v>
      </c>
      <c r="F6" s="13" t="s">
        <v>21</v>
      </c>
      <c r="G6" s="13" t="s">
        <v>21</v>
      </c>
      <c r="H6" s="9"/>
      <c r="I6" s="23">
        <f>IF($H6 = "",ULTIMO_CONTATO[ALERTA ÚLTIMO CONTATO]-1,$N$1-$H6)</f>
        <v>14</v>
      </c>
      <c r="J6" s="13">
        <v>0</v>
      </c>
      <c r="K6" s="32">
        <v>0</v>
      </c>
      <c r="L6" s="44" t="str">
        <f>SELECAO[SELEÇÃO]</f>
        <v>SELECIONAR</v>
      </c>
    </row>
    <row r="7" spans="1:16" x14ac:dyDescent="0.25">
      <c r="B7" s="58">
        <v>2</v>
      </c>
      <c r="C7" s="1" t="s">
        <v>41</v>
      </c>
      <c r="D7" s="68" t="s">
        <v>42</v>
      </c>
      <c r="E7" s="68" t="str">
        <f>TEXT($D7,"MMMM")</f>
        <v>outubro</v>
      </c>
      <c r="F7" s="69" t="s">
        <v>21</v>
      </c>
      <c r="G7" s="58" t="s">
        <v>21</v>
      </c>
      <c r="H7" s="9"/>
      <c r="I7" s="23">
        <f>IF($H7 = "",ULTIMO_CONTATO[ALERTA ÚLTIMO CONTATO]-1,$N$1-$H7)</f>
        <v>14</v>
      </c>
      <c r="J7" s="58">
        <v>0</v>
      </c>
      <c r="K7" s="32">
        <v>0</v>
      </c>
      <c r="L7" s="44" t="str">
        <f>SELECAO[SELEÇÃO]</f>
        <v>SELECIONAR</v>
      </c>
    </row>
    <row r="8" spans="1:16" x14ac:dyDescent="0.25">
      <c r="B8" s="58">
        <v>3</v>
      </c>
      <c r="C8" s="1" t="s">
        <v>43</v>
      </c>
      <c r="D8" s="68" t="s">
        <v>44</v>
      </c>
      <c r="E8" s="68" t="str">
        <f>TEXT($D8,"MMMM")</f>
        <v>agosto</v>
      </c>
      <c r="F8" s="69" t="s">
        <v>21</v>
      </c>
      <c r="G8" s="58" t="s">
        <v>21</v>
      </c>
      <c r="H8" s="9"/>
      <c r="I8" s="23">
        <f>IF($H8 = "",ULTIMO_CONTATO[ALERTA ÚLTIMO CONTATO]-1,$N$1-$H8)</f>
        <v>14</v>
      </c>
      <c r="J8" s="58">
        <v>0</v>
      </c>
      <c r="K8" s="32">
        <v>0</v>
      </c>
      <c r="L8" s="44" t="str">
        <f>SELECAO[SELEÇÃO]</f>
        <v>SELECIONAR</v>
      </c>
    </row>
    <row r="9" spans="1:16" x14ac:dyDescent="0.25">
      <c r="B9" s="58">
        <v>4</v>
      </c>
      <c r="C9" s="1" t="s">
        <v>45</v>
      </c>
      <c r="D9" s="68" t="s">
        <v>46</v>
      </c>
      <c r="E9" s="68" t="str">
        <f>TEXT($D9,"MMMM")</f>
        <v>janeiro</v>
      </c>
      <c r="F9" s="69" t="s">
        <v>21</v>
      </c>
      <c r="G9" s="58" t="s">
        <v>21</v>
      </c>
      <c r="H9" s="9"/>
      <c r="I9" s="23">
        <f>IF($H9 = "",ULTIMO_CONTATO[ALERTA ÚLTIMO CONTATO]-1,$N$1-$H9)</f>
        <v>14</v>
      </c>
      <c r="J9" s="58">
        <v>0</v>
      </c>
      <c r="K9" s="32">
        <v>0</v>
      </c>
      <c r="L9" s="44" t="str">
        <f>SELECAO[SELEÇÃO]</f>
        <v>SELECIONAR</v>
      </c>
    </row>
    <row r="10" spans="1:16" x14ac:dyDescent="0.25">
      <c r="B10" s="58">
        <v>5</v>
      </c>
      <c r="C10" s="1" t="s">
        <v>47</v>
      </c>
      <c r="D10" s="68" t="s">
        <v>48</v>
      </c>
      <c r="E10" s="68" t="str">
        <f>TEXT($D10,"MMMM")</f>
        <v>abril</v>
      </c>
      <c r="F10" s="69" t="s">
        <v>21</v>
      </c>
      <c r="G10" s="58" t="s">
        <v>21</v>
      </c>
      <c r="H10" s="9"/>
      <c r="I10" s="23">
        <f>IF($H10 = "",ULTIMO_CONTATO[ALERTA ÚLTIMO CONTATO]-1,$N$1-$H10)</f>
        <v>14</v>
      </c>
      <c r="J10" s="58">
        <v>0</v>
      </c>
      <c r="K10" s="32">
        <v>0</v>
      </c>
      <c r="L10" s="44" t="str">
        <f>SELECAO[SELEÇÃO]</f>
        <v>SELECIONAR</v>
      </c>
    </row>
    <row r="11" spans="1:16" x14ac:dyDescent="0.25">
      <c r="B11" s="58">
        <v>6</v>
      </c>
      <c r="C11" s="1" t="s">
        <v>49</v>
      </c>
      <c r="D11" s="68" t="s">
        <v>50</v>
      </c>
      <c r="E11" s="68" t="str">
        <f>TEXT($D11,"MMMM")</f>
        <v>dezembro</v>
      </c>
      <c r="F11" s="69" t="s">
        <v>21</v>
      </c>
      <c r="G11" s="58" t="s">
        <v>21</v>
      </c>
      <c r="H11" s="9"/>
      <c r="I11" s="23">
        <f>IF($H11 = "",ULTIMO_CONTATO[ALERTA ÚLTIMO CONTATO]-1,$N$1-$H11)</f>
        <v>14</v>
      </c>
      <c r="J11" s="58">
        <v>0</v>
      </c>
      <c r="K11" s="32">
        <v>0</v>
      </c>
      <c r="L11" s="44" t="str">
        <f>SELECAO[SELEÇÃO]</f>
        <v>SELECIONAR</v>
      </c>
    </row>
    <row r="12" spans="1:16" x14ac:dyDescent="0.25">
      <c r="B12" s="58">
        <v>7</v>
      </c>
      <c r="C12" s="1" t="s">
        <v>51</v>
      </c>
      <c r="D12" s="68">
        <v>30112</v>
      </c>
      <c r="E12" s="68" t="str">
        <f>TEXT($D12,"MMMM")</f>
        <v>junho</v>
      </c>
      <c r="F12" s="69" t="s">
        <v>21</v>
      </c>
      <c r="G12" s="58" t="s">
        <v>21</v>
      </c>
      <c r="H12" s="9"/>
      <c r="I12" s="23">
        <f>IF($H12 = "",ULTIMO_CONTATO[ALERTA ÚLTIMO CONTATO]-1,$N$1-$H12)</f>
        <v>14</v>
      </c>
      <c r="J12" s="58">
        <v>0</v>
      </c>
      <c r="K12" s="32">
        <v>0</v>
      </c>
      <c r="L12" s="44" t="str">
        <f>SELECAO[SELEÇÃO]</f>
        <v>SELECIONAR</v>
      </c>
    </row>
    <row r="13" spans="1:16" x14ac:dyDescent="0.25">
      <c r="B13" s="58">
        <v>8</v>
      </c>
      <c r="C13" s="1" t="s">
        <v>52</v>
      </c>
      <c r="D13" s="68" t="s">
        <v>53</v>
      </c>
      <c r="E13" s="68" t="str">
        <f>TEXT($D13,"MMMM")</f>
        <v>julho</v>
      </c>
      <c r="F13" s="69" t="s">
        <v>21</v>
      </c>
      <c r="G13" s="58" t="s">
        <v>21</v>
      </c>
      <c r="H13" s="9"/>
      <c r="I13" s="23">
        <f>IF($H13 = "",ULTIMO_CONTATO[ALERTA ÚLTIMO CONTATO]-1,$N$1-$H13)</f>
        <v>14</v>
      </c>
      <c r="J13" s="58">
        <v>0</v>
      </c>
      <c r="K13" s="32">
        <v>0</v>
      </c>
      <c r="L13" s="44" t="str">
        <f>SELECAO[SELEÇÃO]</f>
        <v>SELECIONAR</v>
      </c>
    </row>
    <row r="14" spans="1:16" x14ac:dyDescent="0.25">
      <c r="B14" s="58">
        <v>156</v>
      </c>
      <c r="C14" s="1" t="s">
        <v>54</v>
      </c>
      <c r="D14" s="68">
        <v>35164</v>
      </c>
      <c r="E14" s="68" t="str">
        <f>TEXT($D14,"MMMM")</f>
        <v>abril</v>
      </c>
      <c r="F14" s="69" t="s">
        <v>21</v>
      </c>
      <c r="G14" s="58" t="s">
        <v>21</v>
      </c>
      <c r="H14" s="9"/>
      <c r="I14" s="23">
        <f>IF($H14 = "",ULTIMO_CONTATO[ALERTA ÚLTIMO CONTATO]-1,$N$1-$H14)</f>
        <v>14</v>
      </c>
      <c r="J14" s="58">
        <v>0</v>
      </c>
      <c r="K14" s="32">
        <v>0</v>
      </c>
      <c r="L14" s="44" t="str">
        <f>SELECAO[SELEÇÃO]</f>
        <v>SELECIONAR</v>
      </c>
    </row>
    <row r="15" spans="1:16" x14ac:dyDescent="0.25">
      <c r="B15" s="58">
        <v>9</v>
      </c>
      <c r="C15" s="1" t="s">
        <v>55</v>
      </c>
      <c r="D15" s="68">
        <v>35164</v>
      </c>
      <c r="E15" s="68" t="str">
        <f>TEXT($D15,"MMMM")</f>
        <v>abril</v>
      </c>
      <c r="F15" s="69" t="s">
        <v>21</v>
      </c>
      <c r="G15" s="58" t="s">
        <v>21</v>
      </c>
      <c r="H15" s="9"/>
      <c r="I15" s="23">
        <f>IF($H15 = "",ULTIMO_CONTATO[ALERTA ÚLTIMO CONTATO]-1,$N$1-$H15)</f>
        <v>14</v>
      </c>
      <c r="J15" s="58">
        <v>0</v>
      </c>
      <c r="K15" s="32">
        <v>0</v>
      </c>
      <c r="L15" s="44" t="str">
        <f>SELECAO[SELEÇÃO]</f>
        <v>SELECIONAR</v>
      </c>
    </row>
    <row r="16" spans="1:16" x14ac:dyDescent="0.25">
      <c r="B16" s="58">
        <v>157</v>
      </c>
      <c r="C16" s="1" t="s">
        <v>56</v>
      </c>
      <c r="D16" s="68" t="s">
        <v>57</v>
      </c>
      <c r="E16" s="68" t="str">
        <f>TEXT($D16,"MMMM")</f>
        <v>julho</v>
      </c>
      <c r="F16" s="69" t="s">
        <v>21</v>
      </c>
      <c r="G16" s="58" t="s">
        <v>21</v>
      </c>
      <c r="H16" s="9"/>
      <c r="I16" s="23">
        <f>IF($H16 = "",ULTIMO_CONTATO[ALERTA ÚLTIMO CONTATO]-1,$N$1-$H16)</f>
        <v>14</v>
      </c>
      <c r="J16" s="58">
        <v>0</v>
      </c>
      <c r="K16" s="32">
        <v>0</v>
      </c>
      <c r="L16" s="44" t="str">
        <f>SELECAO[SELEÇÃO]</f>
        <v>SELECIONAR</v>
      </c>
    </row>
    <row r="17" spans="2:12" x14ac:dyDescent="0.25">
      <c r="B17" s="58">
        <v>10</v>
      </c>
      <c r="C17" s="1" t="s">
        <v>58</v>
      </c>
      <c r="D17" s="68" t="s">
        <v>57</v>
      </c>
      <c r="E17" s="68" t="str">
        <f>TEXT($D17,"MMMM")</f>
        <v>julho</v>
      </c>
      <c r="F17" s="69" t="s">
        <v>21</v>
      </c>
      <c r="G17" s="58" t="s">
        <v>21</v>
      </c>
      <c r="H17" s="9"/>
      <c r="I17" s="23">
        <f>IF($H17 = "",ULTIMO_CONTATO[ALERTA ÚLTIMO CONTATO]-1,$N$1-$H17)</f>
        <v>14</v>
      </c>
      <c r="J17" s="58">
        <v>0</v>
      </c>
      <c r="K17" s="32">
        <v>0</v>
      </c>
      <c r="L17" s="44" t="str">
        <f>SELECAO[SELEÇÃO]</f>
        <v>SELECIONAR</v>
      </c>
    </row>
    <row r="18" spans="2:12" x14ac:dyDescent="0.25">
      <c r="B18" s="58">
        <v>11</v>
      </c>
      <c r="C18" s="1" t="s">
        <v>59</v>
      </c>
      <c r="D18" s="68">
        <v>35468</v>
      </c>
      <c r="E18" s="68" t="str">
        <f>TEXT($D18,"MMMM")</f>
        <v>fevereiro</v>
      </c>
      <c r="F18" s="69" t="s">
        <v>21</v>
      </c>
      <c r="G18" s="58" t="s">
        <v>21</v>
      </c>
      <c r="H18" s="9"/>
      <c r="I18" s="23">
        <f>IF($H18 = "",ULTIMO_CONTATO[ALERTA ÚLTIMO CONTATO]-1,$N$1-$H18)</f>
        <v>14</v>
      </c>
      <c r="J18" s="58">
        <v>0</v>
      </c>
      <c r="K18" s="32">
        <v>0</v>
      </c>
      <c r="L18" s="44" t="str">
        <f>SELECAO[SELEÇÃO]</f>
        <v>SELECIONAR</v>
      </c>
    </row>
    <row r="19" spans="2:12" x14ac:dyDescent="0.25">
      <c r="B19" s="58">
        <v>12</v>
      </c>
      <c r="C19" s="1" t="s">
        <v>60</v>
      </c>
      <c r="D19" s="68" t="s">
        <v>61</v>
      </c>
      <c r="E19" s="68" t="str">
        <f>TEXT($D19,"MMMM")</f>
        <v>fevereiro</v>
      </c>
      <c r="F19" s="69" t="s">
        <v>21</v>
      </c>
      <c r="G19" s="58" t="s">
        <v>21</v>
      </c>
      <c r="H19" s="9"/>
      <c r="I19" s="23">
        <f>IF($H19 = "",ULTIMO_CONTATO[ALERTA ÚLTIMO CONTATO]-1,$N$1-$H19)</f>
        <v>14</v>
      </c>
      <c r="J19" s="58">
        <v>0</v>
      </c>
      <c r="K19" s="32">
        <v>0</v>
      </c>
      <c r="L19" s="44" t="str">
        <f>SELECAO[SELEÇÃO]</f>
        <v>SELECIONAR</v>
      </c>
    </row>
    <row r="20" spans="2:12" x14ac:dyDescent="0.25">
      <c r="B20" s="58">
        <v>211</v>
      </c>
      <c r="C20" s="1" t="s">
        <v>62</v>
      </c>
      <c r="D20" s="68">
        <v>33091</v>
      </c>
      <c r="E20" s="68" t="str">
        <f>TEXT($D20,"MMMM")</f>
        <v>agosto</v>
      </c>
      <c r="F20" s="69" t="s">
        <v>21</v>
      </c>
      <c r="G20" s="58" t="s">
        <v>21</v>
      </c>
      <c r="H20" s="9"/>
      <c r="I20" s="23">
        <f>IF($H20 = "",ULTIMO_CONTATO[ALERTA ÚLTIMO CONTATO]-1,$N$1-$H20)</f>
        <v>14</v>
      </c>
      <c r="J20" s="58">
        <v>0</v>
      </c>
      <c r="K20" s="32">
        <v>0</v>
      </c>
      <c r="L20" s="44" t="str">
        <f>SELECAO[SELEÇÃO]</f>
        <v>SELECIONAR</v>
      </c>
    </row>
    <row r="21" spans="2:12" x14ac:dyDescent="0.25">
      <c r="B21" s="58">
        <v>158</v>
      </c>
      <c r="C21" s="1" t="s">
        <v>63</v>
      </c>
      <c r="D21" s="68"/>
      <c r="E21" s="68" t="str">
        <f>TEXT($D21,"MMMM")</f>
        <v>janeiro</v>
      </c>
      <c r="F21" s="69" t="s">
        <v>21</v>
      </c>
      <c r="G21" s="58" t="s">
        <v>21</v>
      </c>
      <c r="H21" s="9"/>
      <c r="I21" s="23">
        <f>IF($H21 = "",ULTIMO_CONTATO[ALERTA ÚLTIMO CONTATO]-1,$N$1-$H21)</f>
        <v>14</v>
      </c>
      <c r="J21" s="58">
        <v>0</v>
      </c>
      <c r="K21" s="32">
        <v>0</v>
      </c>
      <c r="L21" s="44" t="str">
        <f>SELECAO[SELEÇÃO]</f>
        <v>SELECIONAR</v>
      </c>
    </row>
    <row r="22" spans="2:12" x14ac:dyDescent="0.25">
      <c r="B22" s="58">
        <v>13</v>
      </c>
      <c r="C22" s="1" t="s">
        <v>64</v>
      </c>
      <c r="D22" s="68" t="s">
        <v>65</v>
      </c>
      <c r="E22" s="68" t="str">
        <f>TEXT($D22,"MMMM")</f>
        <v>setembro</v>
      </c>
      <c r="F22" s="69" t="s">
        <v>21</v>
      </c>
      <c r="G22" s="58" t="s">
        <v>21</v>
      </c>
      <c r="H22" s="9"/>
      <c r="I22" s="23">
        <f>IF($H22 = "",ULTIMO_CONTATO[ALERTA ÚLTIMO CONTATO]-1,$N$1-$H22)</f>
        <v>14</v>
      </c>
      <c r="J22" s="58">
        <v>0</v>
      </c>
      <c r="K22" s="32">
        <v>0</v>
      </c>
      <c r="L22" s="44" t="str">
        <f>SELECAO[SELEÇÃO]</f>
        <v>SELECIONAR</v>
      </c>
    </row>
    <row r="23" spans="2:12" x14ac:dyDescent="0.25">
      <c r="B23" s="58">
        <v>220</v>
      </c>
      <c r="C23" s="1" t="s">
        <v>66</v>
      </c>
      <c r="D23" s="68"/>
      <c r="E23" s="68" t="str">
        <f>TEXT($D23,"MMMM")</f>
        <v>janeiro</v>
      </c>
      <c r="F23" s="69" t="s">
        <v>21</v>
      </c>
      <c r="G23" s="58" t="s">
        <v>21</v>
      </c>
      <c r="H23" s="9"/>
      <c r="I23" s="23">
        <f>IF($H23 = "",ULTIMO_CONTATO[ALERTA ÚLTIMO CONTATO]-1,$N$1-$H23)</f>
        <v>14</v>
      </c>
      <c r="J23" s="58">
        <v>0</v>
      </c>
      <c r="K23" s="32">
        <v>0</v>
      </c>
      <c r="L23" s="44" t="str">
        <f>SELECAO[SELEÇÃO]</f>
        <v>SELECIONAR</v>
      </c>
    </row>
    <row r="24" spans="2:12" x14ac:dyDescent="0.25">
      <c r="B24" s="58">
        <v>14</v>
      </c>
      <c r="C24" s="1" t="s">
        <v>67</v>
      </c>
      <c r="D24" s="68">
        <v>33094</v>
      </c>
      <c r="E24" s="68" t="str">
        <f>TEXT($D24,"MMMM")</f>
        <v>agosto</v>
      </c>
      <c r="F24" s="69" t="s">
        <v>21</v>
      </c>
      <c r="G24" s="58" t="s">
        <v>21</v>
      </c>
      <c r="H24" s="9"/>
      <c r="I24" s="23">
        <f>IF($H24 = "",ULTIMO_CONTATO[ALERTA ÚLTIMO CONTATO]-1,$N$1-$H24)</f>
        <v>14</v>
      </c>
      <c r="J24" s="58">
        <v>0</v>
      </c>
      <c r="K24" s="32">
        <v>0</v>
      </c>
      <c r="L24" s="44" t="str">
        <f>SELECAO[SELEÇÃO]</f>
        <v>SELECIONAR</v>
      </c>
    </row>
    <row r="25" spans="2:12" x14ac:dyDescent="0.25">
      <c r="B25" s="58">
        <v>15</v>
      </c>
      <c r="C25" s="1" t="s">
        <v>68</v>
      </c>
      <c r="D25" s="68" t="s">
        <v>69</v>
      </c>
      <c r="E25" s="68" t="str">
        <f>TEXT($D25,"MMMM")</f>
        <v>julho</v>
      </c>
      <c r="F25" s="69" t="s">
        <v>21</v>
      </c>
      <c r="G25" s="58" t="s">
        <v>21</v>
      </c>
      <c r="H25" s="9"/>
      <c r="I25" s="23">
        <f>IF($H25 = "",ULTIMO_CONTATO[ALERTA ÚLTIMO CONTATO]-1,$N$1-$H25)</f>
        <v>14</v>
      </c>
      <c r="J25" s="58">
        <v>0</v>
      </c>
      <c r="K25" s="32">
        <v>0</v>
      </c>
      <c r="L25" s="44" t="str">
        <f>SELECAO[SELEÇÃO]</f>
        <v>SELECIONAR</v>
      </c>
    </row>
    <row r="26" spans="2:12" x14ac:dyDescent="0.25">
      <c r="B26" s="58">
        <v>16</v>
      </c>
      <c r="C26" s="1" t="s">
        <v>70</v>
      </c>
      <c r="D26" s="68">
        <v>34430</v>
      </c>
      <c r="E26" s="68" t="str">
        <f>TEXT($D26,"MMMM")</f>
        <v>abril</v>
      </c>
      <c r="F26" s="69" t="s">
        <v>21</v>
      </c>
      <c r="G26" s="58" t="s">
        <v>21</v>
      </c>
      <c r="H26" s="9"/>
      <c r="I26" s="23">
        <f>IF($H26 = "",ULTIMO_CONTATO[ALERTA ÚLTIMO CONTATO]-1,$N$1-$H26)</f>
        <v>14</v>
      </c>
      <c r="J26" s="58">
        <v>0</v>
      </c>
      <c r="K26" s="32">
        <v>0</v>
      </c>
      <c r="L26" s="44" t="str">
        <f>SELECAO[SELEÇÃO]</f>
        <v>SELECIONAR</v>
      </c>
    </row>
    <row r="27" spans="2:12" x14ac:dyDescent="0.25">
      <c r="B27" s="58">
        <v>17</v>
      </c>
      <c r="C27" s="1" t="s">
        <v>71</v>
      </c>
      <c r="D27" s="68" t="s">
        <v>72</v>
      </c>
      <c r="E27" s="68" t="str">
        <f>TEXT($D27,"MMMM")</f>
        <v>dezembro</v>
      </c>
      <c r="F27" s="69" t="s">
        <v>21</v>
      </c>
      <c r="G27" s="58" t="s">
        <v>21</v>
      </c>
      <c r="H27" s="9"/>
      <c r="I27" s="23">
        <f>IF($H27 = "",ULTIMO_CONTATO[ALERTA ÚLTIMO CONTATO]-1,$N$1-$H27)</f>
        <v>14</v>
      </c>
      <c r="J27" s="58">
        <v>0</v>
      </c>
      <c r="K27" s="32">
        <v>0</v>
      </c>
      <c r="L27" s="44" t="str">
        <f>SELECAO[SELEÇÃO]</f>
        <v>SELECIONAR</v>
      </c>
    </row>
    <row r="28" spans="2:12" x14ac:dyDescent="0.25">
      <c r="B28" s="58">
        <v>18</v>
      </c>
      <c r="C28" s="1" t="s">
        <v>73</v>
      </c>
      <c r="D28" s="68" t="s">
        <v>74</v>
      </c>
      <c r="E28" s="68" t="str">
        <f>TEXT($D28,"MMMM")</f>
        <v>agosto</v>
      </c>
      <c r="F28" s="69" t="s">
        <v>21</v>
      </c>
      <c r="G28" s="58" t="s">
        <v>21</v>
      </c>
      <c r="H28" s="9"/>
      <c r="I28" s="23">
        <f>IF($H28 = "",ULTIMO_CONTATO[ALERTA ÚLTIMO CONTATO]-1,$N$1-$H28)</f>
        <v>14</v>
      </c>
      <c r="J28" s="58">
        <v>0</v>
      </c>
      <c r="K28" s="32">
        <v>0</v>
      </c>
      <c r="L28" s="44" t="str">
        <f>SELECAO[SELEÇÃO]</f>
        <v>SELECIONAR</v>
      </c>
    </row>
    <row r="29" spans="2:12" x14ac:dyDescent="0.25">
      <c r="B29" s="58">
        <v>219</v>
      </c>
      <c r="C29" s="1" t="s">
        <v>75</v>
      </c>
      <c r="D29" s="68">
        <v>33614</v>
      </c>
      <c r="E29" s="68" t="str">
        <f>TEXT($D29,"MMMM")</f>
        <v>janeiro</v>
      </c>
      <c r="F29" s="69" t="s">
        <v>21</v>
      </c>
      <c r="G29" s="58" t="s">
        <v>21</v>
      </c>
      <c r="H29" s="9"/>
      <c r="I29" s="23">
        <f>IF($H29 = "",ULTIMO_CONTATO[ALERTA ÚLTIMO CONTATO]-1,$N$1-$H29)</f>
        <v>14</v>
      </c>
      <c r="J29" s="58">
        <v>0</v>
      </c>
      <c r="K29" s="32">
        <v>0</v>
      </c>
      <c r="L29" s="44" t="str">
        <f>SELECAO[SELEÇÃO]</f>
        <v>SELECIONAR</v>
      </c>
    </row>
    <row r="30" spans="2:12" x14ac:dyDescent="0.25">
      <c r="B30" s="58">
        <v>19</v>
      </c>
      <c r="C30" s="1" t="s">
        <v>76</v>
      </c>
      <c r="D30" s="68">
        <v>33614</v>
      </c>
      <c r="E30" s="68" t="str">
        <f>TEXT($D30,"MMMM")</f>
        <v>janeiro</v>
      </c>
      <c r="F30" s="69" t="s">
        <v>21</v>
      </c>
      <c r="G30" s="58" t="s">
        <v>21</v>
      </c>
      <c r="H30" s="9"/>
      <c r="I30" s="23">
        <f>IF($H30 = "",ULTIMO_CONTATO[ALERTA ÚLTIMO CONTATO]-1,$N$1-$H30)</f>
        <v>14</v>
      </c>
      <c r="J30" s="58">
        <v>0</v>
      </c>
      <c r="K30" s="32">
        <v>0</v>
      </c>
      <c r="L30" s="44" t="str">
        <f>SELECAO[SELEÇÃO]</f>
        <v>SELECIONAR</v>
      </c>
    </row>
    <row r="31" spans="2:12" x14ac:dyDescent="0.25">
      <c r="B31" s="58">
        <v>159</v>
      </c>
      <c r="C31" s="1" t="s">
        <v>77</v>
      </c>
      <c r="D31" s="68" t="s">
        <v>78</v>
      </c>
      <c r="E31" s="68" t="str">
        <f>TEXT($D31,"MMMM")</f>
        <v>janeiro</v>
      </c>
      <c r="F31" s="69" t="s">
        <v>21</v>
      </c>
      <c r="G31" s="58" t="s">
        <v>21</v>
      </c>
      <c r="H31" s="9"/>
      <c r="I31" s="23">
        <f>IF($H31 = "",ULTIMO_CONTATO[ALERTA ÚLTIMO CONTATO]-1,$N$1-$H31)</f>
        <v>14</v>
      </c>
      <c r="J31" s="58">
        <v>0</v>
      </c>
      <c r="K31" s="32">
        <v>0</v>
      </c>
      <c r="L31" s="44" t="str">
        <f>SELECAO[SELEÇÃO]</f>
        <v>SELECIONAR</v>
      </c>
    </row>
    <row r="32" spans="2:12" x14ac:dyDescent="0.25">
      <c r="B32" s="58">
        <v>20</v>
      </c>
      <c r="C32" s="1" t="s">
        <v>79</v>
      </c>
      <c r="D32" s="68">
        <v>35676</v>
      </c>
      <c r="E32" s="68" t="str">
        <f>TEXT($D32,"MMMM")</f>
        <v>setembro</v>
      </c>
      <c r="F32" s="69" t="s">
        <v>21</v>
      </c>
      <c r="G32" s="58" t="s">
        <v>21</v>
      </c>
      <c r="H32" s="9"/>
      <c r="I32" s="23">
        <f>IF($H32 = "",ULTIMO_CONTATO[ALERTA ÚLTIMO CONTATO]-1,$N$1-$H32)</f>
        <v>14</v>
      </c>
      <c r="J32" s="58">
        <v>0</v>
      </c>
      <c r="K32" s="32">
        <v>0</v>
      </c>
      <c r="L32" s="44" t="str">
        <f>SELECAO[SELEÇÃO]</f>
        <v>SELECIONAR</v>
      </c>
    </row>
    <row r="33" spans="2:12" x14ac:dyDescent="0.25">
      <c r="B33" s="58">
        <v>21</v>
      </c>
      <c r="C33" s="1" t="s">
        <v>80</v>
      </c>
      <c r="D33" s="68">
        <v>34035</v>
      </c>
      <c r="E33" s="68" t="str">
        <f>TEXT($D33,"MMMM")</f>
        <v>março</v>
      </c>
      <c r="F33" s="69" t="s">
        <v>21</v>
      </c>
      <c r="G33" s="58" t="s">
        <v>21</v>
      </c>
      <c r="H33" s="9"/>
      <c r="I33" s="23">
        <f>IF($H33 = "",ULTIMO_CONTATO[ALERTA ÚLTIMO CONTATO]-1,$N$1-$H33)</f>
        <v>14</v>
      </c>
      <c r="J33" s="58">
        <v>0</v>
      </c>
      <c r="K33" s="32">
        <v>0</v>
      </c>
      <c r="L33" s="44" t="str">
        <f>SELECAO[SELEÇÃO]</f>
        <v>SELECIONAR</v>
      </c>
    </row>
    <row r="34" spans="2:12" x14ac:dyDescent="0.25">
      <c r="B34" s="58">
        <v>160</v>
      </c>
      <c r="C34" s="1" t="s">
        <v>81</v>
      </c>
      <c r="D34" s="68">
        <v>34035</v>
      </c>
      <c r="E34" s="68" t="str">
        <f>TEXT($D34,"MMMM")</f>
        <v>março</v>
      </c>
      <c r="F34" s="69" t="s">
        <v>21</v>
      </c>
      <c r="G34" s="58" t="s">
        <v>21</v>
      </c>
      <c r="H34" s="9"/>
      <c r="I34" s="23">
        <f>IF($H34 = "",ULTIMO_CONTATO[ALERTA ÚLTIMO CONTATO]-1,$N$1-$H34)</f>
        <v>14</v>
      </c>
      <c r="J34" s="58">
        <v>0</v>
      </c>
      <c r="K34" s="32">
        <v>0</v>
      </c>
      <c r="L34" s="44" t="str">
        <f>SELECAO[SELEÇÃO]</f>
        <v>SELECIONAR</v>
      </c>
    </row>
    <row r="35" spans="2:12" x14ac:dyDescent="0.25">
      <c r="B35" s="58">
        <v>214</v>
      </c>
      <c r="C35" s="1" t="s">
        <v>82</v>
      </c>
      <c r="D35" s="68"/>
      <c r="E35" s="68" t="str">
        <f>TEXT($D35,"MMMM")</f>
        <v>janeiro</v>
      </c>
      <c r="F35" s="69" t="s">
        <v>21</v>
      </c>
      <c r="G35" s="58" t="s">
        <v>21</v>
      </c>
      <c r="H35" s="9"/>
      <c r="I35" s="23">
        <f>IF($H35 = "",ULTIMO_CONTATO[ALERTA ÚLTIMO CONTATO]-1,$N$1-$H35)</f>
        <v>14</v>
      </c>
      <c r="J35" s="58">
        <v>0</v>
      </c>
      <c r="K35" s="32">
        <v>0</v>
      </c>
      <c r="L35" s="44" t="str">
        <f>SELECAO[SELEÇÃO]</f>
        <v>SELECIONAR</v>
      </c>
    </row>
    <row r="36" spans="2:12" x14ac:dyDescent="0.25">
      <c r="B36" s="58">
        <v>161</v>
      </c>
      <c r="C36" s="1" t="s">
        <v>83</v>
      </c>
      <c r="D36" s="68" t="s">
        <v>84</v>
      </c>
      <c r="E36" s="68" t="str">
        <f>TEXT($D36,"MMMM")</f>
        <v>outubro</v>
      </c>
      <c r="F36" s="69" t="s">
        <v>21</v>
      </c>
      <c r="G36" s="58" t="s">
        <v>21</v>
      </c>
      <c r="H36" s="9"/>
      <c r="I36" s="23">
        <f>IF($H36 = "",ULTIMO_CONTATO[ALERTA ÚLTIMO CONTATO]-1,$N$1-$H36)</f>
        <v>14</v>
      </c>
      <c r="J36" s="58">
        <v>0</v>
      </c>
      <c r="K36" s="32">
        <v>0</v>
      </c>
      <c r="L36" s="44" t="str">
        <f>SELECAO[SELEÇÃO]</f>
        <v>SELECIONAR</v>
      </c>
    </row>
    <row r="37" spans="2:12" x14ac:dyDescent="0.25">
      <c r="B37" s="58">
        <v>22</v>
      </c>
      <c r="C37" s="1" t="s">
        <v>85</v>
      </c>
      <c r="D37" s="68" t="s">
        <v>84</v>
      </c>
      <c r="E37" s="68" t="str">
        <f>TEXT($D37,"MMMM")</f>
        <v>outubro</v>
      </c>
      <c r="F37" s="69" t="s">
        <v>21</v>
      </c>
      <c r="G37" s="58" t="s">
        <v>21</v>
      </c>
      <c r="H37" s="9"/>
      <c r="I37" s="23">
        <f>IF($H37 = "",ULTIMO_CONTATO[ALERTA ÚLTIMO CONTATO]-1,$N$1-$H37)</f>
        <v>14</v>
      </c>
      <c r="J37" s="58">
        <v>0</v>
      </c>
      <c r="K37" s="32">
        <v>0</v>
      </c>
      <c r="L37" s="44" t="str">
        <f>SELECAO[SELEÇÃO]</f>
        <v>SELECIONAR</v>
      </c>
    </row>
    <row r="38" spans="2:12" x14ac:dyDescent="0.25">
      <c r="B38" s="58">
        <v>162</v>
      </c>
      <c r="C38" s="1" t="s">
        <v>86</v>
      </c>
      <c r="D38" s="68" t="s">
        <v>87</v>
      </c>
      <c r="E38" s="68" t="str">
        <f>TEXT($D38,"MMMM")</f>
        <v>outubro</v>
      </c>
      <c r="F38" s="69" t="s">
        <v>21</v>
      </c>
      <c r="G38" s="58" t="s">
        <v>21</v>
      </c>
      <c r="H38" s="9"/>
      <c r="I38" s="23">
        <f>IF($H38 = "",ULTIMO_CONTATO[ALERTA ÚLTIMO CONTATO]-1,$N$1-$H38)</f>
        <v>14</v>
      </c>
      <c r="J38" s="58">
        <v>0</v>
      </c>
      <c r="K38" s="32">
        <v>0</v>
      </c>
      <c r="L38" s="44" t="str">
        <f>SELECAO[SELEÇÃO]</f>
        <v>SELECIONAR</v>
      </c>
    </row>
    <row r="39" spans="2:12" x14ac:dyDescent="0.25">
      <c r="B39" s="58">
        <v>23</v>
      </c>
      <c r="C39" s="1" t="s">
        <v>88</v>
      </c>
      <c r="D39" s="68">
        <v>36894</v>
      </c>
      <c r="E39" s="68" t="str">
        <f>TEXT($D39,"MMMM")</f>
        <v>janeiro</v>
      </c>
      <c r="F39" s="69" t="s">
        <v>21</v>
      </c>
      <c r="G39" s="58" t="s">
        <v>21</v>
      </c>
      <c r="H39" s="9"/>
      <c r="I39" s="23">
        <f>IF($H39 = "",ULTIMO_CONTATO[ALERTA ÚLTIMO CONTATO]-1,$N$1-$H39)</f>
        <v>14</v>
      </c>
      <c r="J39" s="58">
        <v>0</v>
      </c>
      <c r="K39" s="32">
        <v>0</v>
      </c>
      <c r="L39" s="44" t="str">
        <f>SELECAO[SELEÇÃO]</f>
        <v>SELECIONAR</v>
      </c>
    </row>
    <row r="40" spans="2:12" x14ac:dyDescent="0.25">
      <c r="B40" s="58">
        <v>24</v>
      </c>
      <c r="C40" s="1" t="s">
        <v>89</v>
      </c>
      <c r="D40" s="68" t="s">
        <v>90</v>
      </c>
      <c r="E40" s="68" t="str">
        <f>TEXT($D40,"MMMM")</f>
        <v>julho</v>
      </c>
      <c r="F40" s="69" t="s">
        <v>21</v>
      </c>
      <c r="G40" s="58" t="s">
        <v>21</v>
      </c>
      <c r="H40" s="9"/>
      <c r="I40" s="23">
        <f>IF($H40 = "",ULTIMO_CONTATO[ALERTA ÚLTIMO CONTATO]-1,$N$1-$H40)</f>
        <v>14</v>
      </c>
      <c r="J40" s="58">
        <v>0</v>
      </c>
      <c r="K40" s="32">
        <v>0</v>
      </c>
      <c r="L40" s="44" t="str">
        <f>SELECAO[SELEÇÃO]</f>
        <v>SELECIONAR</v>
      </c>
    </row>
    <row r="41" spans="2:12" x14ac:dyDescent="0.25">
      <c r="B41" s="58">
        <v>25</v>
      </c>
      <c r="C41" s="1" t="s">
        <v>91</v>
      </c>
      <c r="D41" s="68" t="s">
        <v>92</v>
      </c>
      <c r="E41" s="68" t="str">
        <f>TEXT($D41,"MMMM")</f>
        <v>maio</v>
      </c>
      <c r="F41" s="69" t="s">
        <v>21</v>
      </c>
      <c r="G41" s="58" t="s">
        <v>21</v>
      </c>
      <c r="H41" s="9"/>
      <c r="I41" s="23">
        <f>IF($H41 = "",ULTIMO_CONTATO[ALERTA ÚLTIMO CONTATO]-1,$N$1-$H41)</f>
        <v>14</v>
      </c>
      <c r="J41" s="58">
        <v>0</v>
      </c>
      <c r="K41" s="32">
        <v>0</v>
      </c>
      <c r="L41" s="44" t="str">
        <f>SELECAO[SELEÇÃO]</f>
        <v>SELECIONAR</v>
      </c>
    </row>
    <row r="42" spans="2:12" x14ac:dyDescent="0.25">
      <c r="B42" s="58">
        <v>212</v>
      </c>
      <c r="C42" s="1" t="s">
        <v>93</v>
      </c>
      <c r="D42" s="68">
        <v>33430</v>
      </c>
      <c r="E42" s="68" t="str">
        <f>TEXT($D42,"MMMM")</f>
        <v>julho</v>
      </c>
      <c r="F42" s="69" t="s">
        <v>21</v>
      </c>
      <c r="G42" s="58" t="s">
        <v>21</v>
      </c>
      <c r="H42" s="9"/>
      <c r="I42" s="23">
        <f>IF($H42 = "",ULTIMO_CONTATO[ALERTA ÚLTIMO CONTATO]-1,$N$1-$H42)</f>
        <v>14</v>
      </c>
      <c r="J42" s="58">
        <v>0</v>
      </c>
      <c r="K42" s="32">
        <v>0</v>
      </c>
      <c r="L42" s="44" t="str">
        <f>SELECAO[SELEÇÃO]</f>
        <v>SELECIONAR</v>
      </c>
    </row>
    <row r="43" spans="2:12" x14ac:dyDescent="0.25">
      <c r="B43" s="58">
        <v>26</v>
      </c>
      <c r="C43" s="1" t="s">
        <v>94</v>
      </c>
      <c r="D43" s="68">
        <v>34491</v>
      </c>
      <c r="E43" s="68" t="str">
        <f>TEXT($D43,"MMMM")</f>
        <v>junho</v>
      </c>
      <c r="F43" s="69" t="s">
        <v>21</v>
      </c>
      <c r="G43" s="58" t="s">
        <v>21</v>
      </c>
      <c r="H43" s="9"/>
      <c r="I43" s="23">
        <f>IF($H43 = "",ULTIMO_CONTATO[ALERTA ÚLTIMO CONTATO]-1,$N$1-$H43)</f>
        <v>14</v>
      </c>
      <c r="J43" s="58">
        <v>0</v>
      </c>
      <c r="K43" s="32">
        <v>0</v>
      </c>
      <c r="L43" s="44" t="str">
        <f>SELECAO[SELEÇÃO]</f>
        <v>SELECIONAR</v>
      </c>
    </row>
    <row r="44" spans="2:12" x14ac:dyDescent="0.25">
      <c r="B44" s="58">
        <v>27</v>
      </c>
      <c r="C44" s="1" t="s">
        <v>95</v>
      </c>
      <c r="D44" s="68">
        <v>33430</v>
      </c>
      <c r="E44" s="68" t="str">
        <f>TEXT($D44,"MMMM")</f>
        <v>julho</v>
      </c>
      <c r="F44" s="69" t="s">
        <v>21</v>
      </c>
      <c r="G44" s="58" t="s">
        <v>21</v>
      </c>
      <c r="H44" s="9"/>
      <c r="I44" s="23">
        <f>IF($H44 = "",ULTIMO_CONTATO[ALERTA ÚLTIMO CONTATO]-1,$N$1-$H44)</f>
        <v>14</v>
      </c>
      <c r="J44" s="58">
        <v>0</v>
      </c>
      <c r="K44" s="32">
        <v>0</v>
      </c>
      <c r="L44" s="44" t="str">
        <f>SELECAO[SELEÇÃO]</f>
        <v>SELECIONAR</v>
      </c>
    </row>
    <row r="45" spans="2:12" x14ac:dyDescent="0.25">
      <c r="B45" s="58">
        <v>189</v>
      </c>
      <c r="C45" s="1" t="s">
        <v>96</v>
      </c>
      <c r="D45" s="68">
        <v>34891</v>
      </c>
      <c r="E45" s="68" t="str">
        <f>TEXT($D45,"MMMM")</f>
        <v>julho</v>
      </c>
      <c r="F45" s="69" t="s">
        <v>21</v>
      </c>
      <c r="G45" s="58" t="s">
        <v>21</v>
      </c>
      <c r="H45" s="9"/>
      <c r="I45" s="23">
        <f>IF($H45 = "",ULTIMO_CONTATO[ALERTA ÚLTIMO CONTATO]-1,$N$1-$H45)</f>
        <v>14</v>
      </c>
      <c r="J45" s="58">
        <v>0</v>
      </c>
      <c r="K45" s="32">
        <v>0</v>
      </c>
      <c r="L45" s="44" t="str">
        <f>SELECAO[SELEÇÃO]</f>
        <v>SELECIONAR</v>
      </c>
    </row>
    <row r="46" spans="2:12" x14ac:dyDescent="0.25">
      <c r="B46" s="58">
        <v>28</v>
      </c>
      <c r="C46" s="1" t="s">
        <v>97</v>
      </c>
      <c r="D46" s="68" t="s">
        <v>98</v>
      </c>
      <c r="E46" s="68" t="str">
        <f>TEXT($D46,"MMMM")</f>
        <v>março</v>
      </c>
      <c r="F46" s="69" t="s">
        <v>21</v>
      </c>
      <c r="G46" s="58" t="s">
        <v>21</v>
      </c>
      <c r="H46" s="9"/>
      <c r="I46" s="23">
        <f>IF($H46 = "",ULTIMO_CONTATO[ALERTA ÚLTIMO CONTATO]-1,$N$1-$H46)</f>
        <v>14</v>
      </c>
      <c r="J46" s="58">
        <v>0</v>
      </c>
      <c r="K46" s="32">
        <v>0</v>
      </c>
      <c r="L46" s="44" t="str">
        <f>SELECAO[SELEÇÃO]</f>
        <v>SELECIONAR</v>
      </c>
    </row>
    <row r="47" spans="2:12" x14ac:dyDescent="0.25">
      <c r="B47" s="58">
        <v>29</v>
      </c>
      <c r="C47" s="1" t="s">
        <v>99</v>
      </c>
      <c r="D47" s="68">
        <v>29923</v>
      </c>
      <c r="E47" s="68" t="str">
        <f>TEXT($D47,"MMMM")</f>
        <v>dezembro</v>
      </c>
      <c r="F47" s="69" t="s">
        <v>21</v>
      </c>
      <c r="G47" s="58" t="s">
        <v>21</v>
      </c>
      <c r="H47" s="9"/>
      <c r="I47" s="23">
        <f>IF($H47 = "",ULTIMO_CONTATO[ALERTA ÚLTIMO CONTATO]-1,$N$1-$H47)</f>
        <v>14</v>
      </c>
      <c r="J47" s="58">
        <v>0</v>
      </c>
      <c r="K47" s="32">
        <v>0</v>
      </c>
      <c r="L47" s="44" t="str">
        <f>SELECAO[SELEÇÃO]</f>
        <v>SELECIONAR</v>
      </c>
    </row>
    <row r="48" spans="2:12" x14ac:dyDescent="0.25">
      <c r="B48" s="58">
        <v>163</v>
      </c>
      <c r="C48" s="1" t="s">
        <v>100</v>
      </c>
      <c r="D48" s="68">
        <v>33487</v>
      </c>
      <c r="E48" s="68" t="str">
        <f>TEXT($D48,"MMMM")</f>
        <v>setembro</v>
      </c>
      <c r="F48" s="69" t="s">
        <v>21</v>
      </c>
      <c r="G48" s="58" t="s">
        <v>21</v>
      </c>
      <c r="H48" s="9"/>
      <c r="I48" s="23">
        <f>IF($H48 = "",ULTIMO_CONTATO[ALERTA ÚLTIMO CONTATO]-1,$N$1-$H48)</f>
        <v>14</v>
      </c>
      <c r="J48" s="58">
        <v>0</v>
      </c>
      <c r="K48" s="32">
        <v>0</v>
      </c>
      <c r="L48" s="44" t="str">
        <f>SELECAO[SELEÇÃO]</f>
        <v>SELECIONAR</v>
      </c>
    </row>
    <row r="49" spans="2:12" x14ac:dyDescent="0.25">
      <c r="B49" s="58">
        <v>30</v>
      </c>
      <c r="C49" s="1" t="s">
        <v>101</v>
      </c>
      <c r="D49" s="68">
        <v>33487</v>
      </c>
      <c r="E49" s="68" t="str">
        <f>TEXT($D49,"MMMM")</f>
        <v>setembro</v>
      </c>
      <c r="F49" s="69" t="s">
        <v>21</v>
      </c>
      <c r="G49" s="58" t="s">
        <v>21</v>
      </c>
      <c r="H49" s="9"/>
      <c r="I49" s="23">
        <f>IF($H49 = "",ULTIMO_CONTATO[ALERTA ÚLTIMO CONTATO]-1,$N$1-$H49)</f>
        <v>14</v>
      </c>
      <c r="J49" s="58">
        <v>0</v>
      </c>
      <c r="K49" s="32">
        <v>0</v>
      </c>
      <c r="L49" s="44" t="str">
        <f>SELECAO[SELEÇÃO]</f>
        <v>SELECIONAR</v>
      </c>
    </row>
    <row r="50" spans="2:12" x14ac:dyDescent="0.25">
      <c r="B50" s="58">
        <v>31</v>
      </c>
      <c r="C50" s="1" t="s">
        <v>102</v>
      </c>
      <c r="D50" s="68">
        <v>34003</v>
      </c>
      <c r="E50" s="68" t="str">
        <f>TEXT($D50,"MMMM")</f>
        <v>fevereiro</v>
      </c>
      <c r="F50" s="69" t="s">
        <v>21</v>
      </c>
      <c r="G50" s="58" t="s">
        <v>21</v>
      </c>
      <c r="H50" s="9"/>
      <c r="I50" s="23">
        <f>IF($H50 = "",ULTIMO_CONTATO[ALERTA ÚLTIMO CONTATO]-1,$N$1-$H50)</f>
        <v>14</v>
      </c>
      <c r="J50" s="58">
        <v>0</v>
      </c>
      <c r="K50" s="32">
        <v>0</v>
      </c>
      <c r="L50" s="44" t="str">
        <f>SELECAO[SELEÇÃO]</f>
        <v>SELECIONAR</v>
      </c>
    </row>
    <row r="51" spans="2:12" x14ac:dyDescent="0.25">
      <c r="B51" s="58">
        <v>164</v>
      </c>
      <c r="C51" s="1" t="s">
        <v>103</v>
      </c>
      <c r="D51" s="68">
        <v>34003</v>
      </c>
      <c r="E51" s="68" t="str">
        <f>TEXT($D51,"MMMM")</f>
        <v>fevereiro</v>
      </c>
      <c r="F51" s="69" t="s">
        <v>21</v>
      </c>
      <c r="G51" s="58" t="s">
        <v>21</v>
      </c>
      <c r="H51" s="9"/>
      <c r="I51" s="23">
        <f>IF($H51 = "",ULTIMO_CONTATO[ALERTA ÚLTIMO CONTATO]-1,$N$1-$H51)</f>
        <v>14</v>
      </c>
      <c r="J51" s="58">
        <v>0</v>
      </c>
      <c r="K51" s="32">
        <v>0</v>
      </c>
      <c r="L51" s="44" t="str">
        <f>SELECAO[SELEÇÃO]</f>
        <v>SELECIONAR</v>
      </c>
    </row>
    <row r="52" spans="2:12" x14ac:dyDescent="0.25">
      <c r="B52" s="58">
        <v>32</v>
      </c>
      <c r="C52" s="1" t="s">
        <v>104</v>
      </c>
      <c r="D52" s="68" t="s">
        <v>105</v>
      </c>
      <c r="E52" s="68" t="str">
        <f>TEXT($D52,"MMMM")</f>
        <v>setembro</v>
      </c>
      <c r="F52" s="69" t="s">
        <v>21</v>
      </c>
      <c r="G52" s="58" t="s">
        <v>21</v>
      </c>
      <c r="H52" s="9"/>
      <c r="I52" s="23">
        <f>IF($H52 = "",ULTIMO_CONTATO[ALERTA ÚLTIMO CONTATO]-1,$N$1-$H52)</f>
        <v>14</v>
      </c>
      <c r="J52" s="58">
        <v>0</v>
      </c>
      <c r="K52" s="32">
        <v>0</v>
      </c>
      <c r="L52" s="44" t="str">
        <f>SELECAO[SELEÇÃO]</f>
        <v>SELECIONAR</v>
      </c>
    </row>
    <row r="53" spans="2:12" x14ac:dyDescent="0.25">
      <c r="B53" s="58">
        <v>33</v>
      </c>
      <c r="C53" s="1" t="s">
        <v>106</v>
      </c>
      <c r="D53" s="68" t="s">
        <v>107</v>
      </c>
      <c r="E53" s="68" t="str">
        <f>TEXT($D53,"MMMM")</f>
        <v>janeiro</v>
      </c>
      <c r="F53" s="69" t="s">
        <v>21</v>
      </c>
      <c r="G53" s="58" t="s">
        <v>21</v>
      </c>
      <c r="H53" s="9"/>
      <c r="I53" s="23">
        <f>IF($H53 = "",ULTIMO_CONTATO[ALERTA ÚLTIMO CONTATO]-1,$N$1-$H53)</f>
        <v>14</v>
      </c>
      <c r="J53" s="58">
        <v>0</v>
      </c>
      <c r="K53" s="32">
        <v>0</v>
      </c>
      <c r="L53" s="44" t="str">
        <f>SELECAO[SELEÇÃO]</f>
        <v>SELECIONAR</v>
      </c>
    </row>
    <row r="54" spans="2:12" x14ac:dyDescent="0.25">
      <c r="B54" s="58">
        <v>165</v>
      </c>
      <c r="C54" s="1" t="s">
        <v>108</v>
      </c>
      <c r="D54" s="68"/>
      <c r="E54" s="68" t="str">
        <f>TEXT($D54,"MMMM")</f>
        <v>janeiro</v>
      </c>
      <c r="F54" s="69" t="s">
        <v>21</v>
      </c>
      <c r="G54" s="58" t="s">
        <v>21</v>
      </c>
      <c r="H54" s="9"/>
      <c r="I54" s="23">
        <f>IF($H54 = "",ULTIMO_CONTATO[ALERTA ÚLTIMO CONTATO]-1,$N$1-$H54)</f>
        <v>14</v>
      </c>
      <c r="J54" s="58">
        <v>0</v>
      </c>
      <c r="K54" s="32">
        <v>0</v>
      </c>
      <c r="L54" s="44" t="str">
        <f>SELECAO[SELEÇÃO]</f>
        <v>SELECIONAR</v>
      </c>
    </row>
    <row r="55" spans="2:12" x14ac:dyDescent="0.25">
      <c r="B55" s="58">
        <v>34</v>
      </c>
      <c r="C55" s="1" t="s">
        <v>109</v>
      </c>
      <c r="D55" s="68" t="s">
        <v>110</v>
      </c>
      <c r="E55" s="68" t="str">
        <f>TEXT($D55,"MMMM")</f>
        <v>agosto</v>
      </c>
      <c r="F55" s="69" t="s">
        <v>21</v>
      </c>
      <c r="G55" s="58" t="s">
        <v>21</v>
      </c>
      <c r="H55" s="9"/>
      <c r="I55" s="23">
        <f>IF($H55 = "",ULTIMO_CONTATO[ALERTA ÚLTIMO CONTATO]-1,$N$1-$H55)</f>
        <v>14</v>
      </c>
      <c r="J55" s="58">
        <v>0</v>
      </c>
      <c r="K55" s="32">
        <v>0</v>
      </c>
      <c r="L55" s="44" t="str">
        <f>SELECAO[SELEÇÃO]</f>
        <v>SELECIONAR</v>
      </c>
    </row>
    <row r="56" spans="2:12" x14ac:dyDescent="0.25">
      <c r="B56" s="58">
        <v>35</v>
      </c>
      <c r="C56" s="1" t="s">
        <v>111</v>
      </c>
      <c r="D56" s="68" t="s">
        <v>112</v>
      </c>
      <c r="E56" s="68" t="str">
        <f>TEXT($D56,"MMMM")</f>
        <v>maio</v>
      </c>
      <c r="F56" s="69" t="s">
        <v>21</v>
      </c>
      <c r="G56" s="58" t="s">
        <v>21</v>
      </c>
      <c r="H56" s="9"/>
      <c r="I56" s="23">
        <f>IF($H56 = "",ULTIMO_CONTATO[ALERTA ÚLTIMO CONTATO]-1,$N$1-$H56)</f>
        <v>14</v>
      </c>
      <c r="J56" s="58">
        <v>0</v>
      </c>
      <c r="K56" s="32">
        <v>0</v>
      </c>
      <c r="L56" s="44" t="str">
        <f>SELECAO[SELEÇÃO]</f>
        <v>SELECIONAR</v>
      </c>
    </row>
    <row r="57" spans="2:12" x14ac:dyDescent="0.25">
      <c r="B57" s="58">
        <v>36</v>
      </c>
      <c r="C57" s="1" t="s">
        <v>113</v>
      </c>
      <c r="D57" s="68" t="s">
        <v>114</v>
      </c>
      <c r="E57" s="68" t="str">
        <f>TEXT($D57,"MMMM")</f>
        <v>junho</v>
      </c>
      <c r="F57" s="69" t="s">
        <v>21</v>
      </c>
      <c r="G57" s="58" t="s">
        <v>21</v>
      </c>
      <c r="H57" s="9"/>
      <c r="I57" s="23">
        <f>IF($H57 = "",ULTIMO_CONTATO[ALERTA ÚLTIMO CONTATO]-1,$N$1-$H57)</f>
        <v>14</v>
      </c>
      <c r="J57" s="58">
        <v>0</v>
      </c>
      <c r="K57" s="32">
        <v>0</v>
      </c>
      <c r="L57" s="44" t="str">
        <f>SELECAO[SELEÇÃO]</f>
        <v>SELECIONAR</v>
      </c>
    </row>
    <row r="58" spans="2:12" x14ac:dyDescent="0.25">
      <c r="B58" s="58">
        <v>166</v>
      </c>
      <c r="C58" s="1" t="s">
        <v>115</v>
      </c>
      <c r="D58" s="68"/>
      <c r="E58" s="68" t="str">
        <f>TEXT($D58,"MMMM")</f>
        <v>janeiro</v>
      </c>
      <c r="F58" s="69" t="s">
        <v>21</v>
      </c>
      <c r="G58" s="58" t="s">
        <v>21</v>
      </c>
      <c r="H58" s="9"/>
      <c r="I58" s="23">
        <f>IF($H58 = "",ULTIMO_CONTATO[ALERTA ÚLTIMO CONTATO]-1,$N$1-$H58)</f>
        <v>14</v>
      </c>
      <c r="J58" s="58">
        <v>0</v>
      </c>
      <c r="K58" s="32">
        <v>0</v>
      </c>
      <c r="L58" s="44" t="str">
        <f>SELECAO[SELEÇÃO]</f>
        <v>SELECIONAR</v>
      </c>
    </row>
    <row r="59" spans="2:12" x14ac:dyDescent="0.25">
      <c r="B59" s="58">
        <v>37</v>
      </c>
      <c r="C59" s="1" t="s">
        <v>116</v>
      </c>
      <c r="D59" s="68">
        <v>33789</v>
      </c>
      <c r="E59" s="68" t="str">
        <f>TEXT($D59,"MMMM")</f>
        <v>julho</v>
      </c>
      <c r="F59" s="69" t="s">
        <v>21</v>
      </c>
      <c r="G59" s="58" t="s">
        <v>21</v>
      </c>
      <c r="H59" s="9"/>
      <c r="I59" s="23">
        <f>IF($H59 = "",ULTIMO_CONTATO[ALERTA ÚLTIMO CONTATO]-1,$N$1-$H59)</f>
        <v>14</v>
      </c>
      <c r="J59" s="58">
        <v>0</v>
      </c>
      <c r="K59" s="32">
        <v>0</v>
      </c>
      <c r="L59" s="44" t="str">
        <f>SELECAO[SELEÇÃO]</f>
        <v>SELECIONAR</v>
      </c>
    </row>
    <row r="60" spans="2:12" x14ac:dyDescent="0.25">
      <c r="B60" s="58">
        <v>38</v>
      </c>
      <c r="C60" s="1" t="s">
        <v>117</v>
      </c>
      <c r="D60" s="68">
        <v>35977</v>
      </c>
      <c r="E60" s="68" t="str">
        <f>TEXT($D60,"MMMM")</f>
        <v>julho</v>
      </c>
      <c r="F60" s="69" t="s">
        <v>21</v>
      </c>
      <c r="G60" s="58" t="s">
        <v>21</v>
      </c>
      <c r="H60" s="9"/>
      <c r="I60" s="23">
        <f>IF($H60 = "",ULTIMO_CONTATO[ALERTA ÚLTIMO CONTATO]-1,$N$1-$H60)</f>
        <v>14</v>
      </c>
      <c r="J60" s="58">
        <v>0</v>
      </c>
      <c r="K60" s="32">
        <v>0</v>
      </c>
      <c r="L60" s="44" t="str">
        <f>SELECAO[SELEÇÃO]</f>
        <v>SELECIONAR</v>
      </c>
    </row>
    <row r="61" spans="2:12" x14ac:dyDescent="0.25">
      <c r="B61" s="58">
        <v>39</v>
      </c>
      <c r="C61" s="1" t="s">
        <v>118</v>
      </c>
      <c r="D61" s="68">
        <v>34123</v>
      </c>
      <c r="E61" s="68" t="str">
        <f>TEXT($D61,"MMMM")</f>
        <v>junho</v>
      </c>
      <c r="F61" s="69" t="s">
        <v>21</v>
      </c>
      <c r="G61" s="58" t="s">
        <v>21</v>
      </c>
      <c r="H61" s="9"/>
      <c r="I61" s="23">
        <f>IF($H61 = "",ULTIMO_CONTATO[ALERTA ÚLTIMO CONTATO]-1,$N$1-$H61)</f>
        <v>14</v>
      </c>
      <c r="J61" s="58">
        <v>0</v>
      </c>
      <c r="K61" s="32">
        <v>0</v>
      </c>
      <c r="L61" s="44" t="str">
        <f>SELECAO[SELEÇÃO]</f>
        <v>SELECIONAR</v>
      </c>
    </row>
    <row r="62" spans="2:12" x14ac:dyDescent="0.25">
      <c r="B62" s="58">
        <v>40</v>
      </c>
      <c r="C62" s="1" t="s">
        <v>119</v>
      </c>
      <c r="D62" s="68">
        <v>34556</v>
      </c>
      <c r="E62" s="68" t="str">
        <f>TEXT($D62,"MMMM")</f>
        <v>agosto</v>
      </c>
      <c r="F62" s="69" t="s">
        <v>21</v>
      </c>
      <c r="G62" s="58" t="s">
        <v>21</v>
      </c>
      <c r="H62" s="9"/>
      <c r="I62" s="23">
        <f>IF($H62 = "",ULTIMO_CONTATO[ALERTA ÚLTIMO CONTATO]-1,$N$1-$H62)</f>
        <v>14</v>
      </c>
      <c r="J62" s="58">
        <v>0</v>
      </c>
      <c r="K62" s="32">
        <v>0</v>
      </c>
      <c r="L62" s="44" t="str">
        <f>SELECAO[SELEÇÃO]</f>
        <v>SELECIONAR</v>
      </c>
    </row>
    <row r="63" spans="2:12" x14ac:dyDescent="0.25">
      <c r="B63" s="58">
        <v>213</v>
      </c>
      <c r="C63" s="1" t="s">
        <v>120</v>
      </c>
      <c r="D63" s="68"/>
      <c r="E63" s="68" t="str">
        <f>TEXT($D63,"MMMM")</f>
        <v>janeiro</v>
      </c>
      <c r="F63" s="69" t="s">
        <v>21</v>
      </c>
      <c r="G63" s="58" t="s">
        <v>21</v>
      </c>
      <c r="H63" s="9"/>
      <c r="I63" s="23">
        <f>IF($H63 = "",ULTIMO_CONTATO[ALERTA ÚLTIMO CONTATO]-1,$N$1-$H63)</f>
        <v>14</v>
      </c>
      <c r="J63" s="58">
        <v>0</v>
      </c>
      <c r="K63" s="32">
        <v>0</v>
      </c>
      <c r="L63" s="44" t="str">
        <f>SELECAO[SELEÇÃO]</f>
        <v>SELECIONAR</v>
      </c>
    </row>
    <row r="64" spans="2:12" x14ac:dyDescent="0.25">
      <c r="B64" s="58">
        <v>227</v>
      </c>
      <c r="C64" s="1" t="s">
        <v>121</v>
      </c>
      <c r="D64" s="68"/>
      <c r="E64" s="68" t="str">
        <f>TEXT($D64,"MMMM")</f>
        <v>janeiro</v>
      </c>
      <c r="F64" s="69" t="s">
        <v>9</v>
      </c>
      <c r="G64" s="58" t="s">
        <v>21</v>
      </c>
      <c r="H64" s="9" t="s">
        <v>122</v>
      </c>
      <c r="I64" s="23">
        <f ca="1">IF($H64 = "",ULTIMO_CONTATO[ALERTA ÚLTIMO CONTATO]-1,$N$1-$H64)</f>
        <v>1</v>
      </c>
      <c r="J64" s="58">
        <v>0</v>
      </c>
      <c r="K64" s="32">
        <v>0</v>
      </c>
      <c r="L64" s="44" t="str">
        <f>SELECAO[SELEÇÃO]</f>
        <v>SELECIONAR</v>
      </c>
    </row>
    <row r="65" spans="2:12" x14ac:dyDescent="0.25">
      <c r="B65" s="58">
        <v>41</v>
      </c>
      <c r="C65" s="1" t="s">
        <v>123</v>
      </c>
      <c r="D65" s="68">
        <v>36380</v>
      </c>
      <c r="E65" s="68" t="str">
        <f>TEXT($D65,"MMMM")</f>
        <v>agosto</v>
      </c>
      <c r="F65" s="69" t="s">
        <v>21</v>
      </c>
      <c r="G65" s="58" t="s">
        <v>21</v>
      </c>
      <c r="H65" s="9"/>
      <c r="I65" s="23">
        <f>IF($H65 = "",ULTIMO_CONTATO[ALERTA ÚLTIMO CONTATO]-1,$N$1-$H65)</f>
        <v>14</v>
      </c>
      <c r="J65" s="58">
        <v>0</v>
      </c>
      <c r="K65" s="32">
        <v>0</v>
      </c>
      <c r="L65" s="44" t="str">
        <f>SELECAO[SELEÇÃO]</f>
        <v>SELECIONAR</v>
      </c>
    </row>
    <row r="66" spans="2:12" x14ac:dyDescent="0.25">
      <c r="B66" s="58">
        <v>42</v>
      </c>
      <c r="C66" s="1" t="s">
        <v>124</v>
      </c>
      <c r="D66" s="68">
        <v>29809</v>
      </c>
      <c r="E66" s="68" t="str">
        <f>TEXT($D66,"MMMM")</f>
        <v>agosto</v>
      </c>
      <c r="F66" s="69" t="s">
        <v>21</v>
      </c>
      <c r="G66" s="58" t="s">
        <v>21</v>
      </c>
      <c r="H66" s="9"/>
      <c r="I66" s="23">
        <f>IF($H66 = "",ULTIMO_CONTATO[ALERTA ÚLTIMO CONTATO]-1,$N$1-$H66)</f>
        <v>14</v>
      </c>
      <c r="J66" s="58">
        <v>0</v>
      </c>
      <c r="K66" s="32">
        <v>0</v>
      </c>
      <c r="L66" s="44" t="str">
        <f>SELECAO[SELEÇÃO]</f>
        <v>SELECIONAR</v>
      </c>
    </row>
    <row r="67" spans="2:12" x14ac:dyDescent="0.25">
      <c r="B67" s="58">
        <v>167</v>
      </c>
      <c r="C67" s="1" t="s">
        <v>125</v>
      </c>
      <c r="D67" s="68">
        <v>29809</v>
      </c>
      <c r="E67" s="68" t="str">
        <f>TEXT($D67,"MMMM")</f>
        <v>agosto</v>
      </c>
      <c r="F67" s="69" t="s">
        <v>21</v>
      </c>
      <c r="G67" s="58" t="s">
        <v>21</v>
      </c>
      <c r="H67" s="9"/>
      <c r="I67" s="23">
        <f>IF($H67 = "",ULTIMO_CONTATO[ALERTA ÚLTIMO CONTATO]-1,$N$1-$H67)</f>
        <v>14</v>
      </c>
      <c r="J67" s="58">
        <v>0</v>
      </c>
      <c r="K67" s="32">
        <v>0</v>
      </c>
      <c r="L67" s="44" t="str">
        <f>SELECAO[SELEÇÃO]</f>
        <v>SELECIONAR</v>
      </c>
    </row>
    <row r="68" spans="2:12" x14ac:dyDescent="0.25">
      <c r="B68" s="58">
        <v>43</v>
      </c>
      <c r="C68" s="1" t="s">
        <v>126</v>
      </c>
      <c r="D68" s="68">
        <v>33423</v>
      </c>
      <c r="E68" s="68" t="str">
        <f>TEXT($D68,"MMMM")</f>
        <v>julho</v>
      </c>
      <c r="F68" s="69" t="s">
        <v>21</v>
      </c>
      <c r="G68" s="58" t="s">
        <v>21</v>
      </c>
      <c r="H68" s="9"/>
      <c r="I68" s="23">
        <f>IF($H68 = "",ULTIMO_CONTATO[ALERTA ÚLTIMO CONTATO]-1,$N$1-$H68)</f>
        <v>14</v>
      </c>
      <c r="J68" s="58">
        <v>0</v>
      </c>
      <c r="K68" s="32">
        <v>0</v>
      </c>
      <c r="L68" s="44" t="str">
        <f>SELECAO[SELEÇÃO]</f>
        <v>SELECIONAR</v>
      </c>
    </row>
    <row r="69" spans="2:12" x14ac:dyDescent="0.25">
      <c r="B69" s="58">
        <v>168</v>
      </c>
      <c r="C69" s="1" t="s">
        <v>127</v>
      </c>
      <c r="D69" s="68"/>
      <c r="E69" s="68" t="str">
        <f>TEXT($D69,"MMMM")</f>
        <v>janeiro</v>
      </c>
      <c r="F69" s="69" t="s">
        <v>21</v>
      </c>
      <c r="G69" s="58" t="s">
        <v>21</v>
      </c>
      <c r="H69" s="9"/>
      <c r="I69" s="23">
        <f>IF($H69 = "",ULTIMO_CONTATO[ALERTA ÚLTIMO CONTATO]-1,$N$1-$H69)</f>
        <v>14</v>
      </c>
      <c r="J69" s="58">
        <v>0</v>
      </c>
      <c r="K69" s="32">
        <v>0</v>
      </c>
      <c r="L69" s="44" t="str">
        <f>SELECAO[SELEÇÃO]</f>
        <v>SELECIONAR</v>
      </c>
    </row>
    <row r="70" spans="2:12" x14ac:dyDescent="0.25">
      <c r="B70" s="58">
        <v>44</v>
      </c>
      <c r="C70" s="1" t="s">
        <v>128</v>
      </c>
      <c r="D70" s="68" t="s">
        <v>129</v>
      </c>
      <c r="E70" s="68" t="str">
        <f>TEXT($D70,"MMMM")</f>
        <v>janeiro</v>
      </c>
      <c r="F70" s="69" t="s">
        <v>21</v>
      </c>
      <c r="G70" s="58" t="s">
        <v>21</v>
      </c>
      <c r="H70" s="9"/>
      <c r="I70" s="23">
        <f>IF($H70 = "",ULTIMO_CONTATO[ALERTA ÚLTIMO CONTATO]-1,$N$1-$H70)</f>
        <v>14</v>
      </c>
      <c r="J70" s="58">
        <v>0</v>
      </c>
      <c r="K70" s="32">
        <v>0</v>
      </c>
      <c r="L70" s="44" t="str">
        <f>SELECAO[SELEÇÃO]</f>
        <v>SELECIONAR</v>
      </c>
    </row>
    <row r="71" spans="2:12" x14ac:dyDescent="0.25">
      <c r="B71" s="58">
        <v>45</v>
      </c>
      <c r="C71" s="1" t="s">
        <v>130</v>
      </c>
      <c r="D71" s="68" t="s">
        <v>131</v>
      </c>
      <c r="E71" s="68" t="str">
        <f>TEXT($D71,"MMMM")</f>
        <v>outubro</v>
      </c>
      <c r="F71" s="69" t="s">
        <v>21</v>
      </c>
      <c r="G71" s="58" t="s">
        <v>21</v>
      </c>
      <c r="H71" s="9"/>
      <c r="I71" s="23">
        <f>IF($H71 = "",ULTIMO_CONTATO[ALERTA ÚLTIMO CONTATO]-1,$N$1-$H71)</f>
        <v>14</v>
      </c>
      <c r="J71" s="58">
        <v>0</v>
      </c>
      <c r="K71" s="32">
        <v>0</v>
      </c>
      <c r="L71" s="44" t="str">
        <f>SELECAO[SELEÇÃO]</f>
        <v>SELECIONAR</v>
      </c>
    </row>
    <row r="72" spans="2:12" x14ac:dyDescent="0.25">
      <c r="B72" s="58">
        <v>46</v>
      </c>
      <c r="C72" s="1" t="s">
        <v>132</v>
      </c>
      <c r="D72" s="68" t="s">
        <v>133</v>
      </c>
      <c r="E72" s="68" t="str">
        <f>TEXT($D72,"MMMM")</f>
        <v>fevereiro</v>
      </c>
      <c r="F72" s="69" t="s">
        <v>21</v>
      </c>
      <c r="G72" s="58" t="s">
        <v>21</v>
      </c>
      <c r="H72" s="9"/>
      <c r="I72" s="23">
        <f>IF($H72 = "",ULTIMO_CONTATO[ALERTA ÚLTIMO CONTATO]-1,$N$1-$H72)</f>
        <v>14</v>
      </c>
      <c r="J72" s="58">
        <v>0</v>
      </c>
      <c r="K72" s="32">
        <v>0</v>
      </c>
      <c r="L72" s="44" t="str">
        <f>SELECAO[SELEÇÃO]</f>
        <v>SELECIONAR</v>
      </c>
    </row>
    <row r="73" spans="2:12" x14ac:dyDescent="0.25">
      <c r="B73" s="58">
        <v>47</v>
      </c>
      <c r="C73" s="1" t="s">
        <v>134</v>
      </c>
      <c r="D73" s="68" t="s">
        <v>135</v>
      </c>
      <c r="E73" s="68" t="str">
        <f>TEXT($D73,"MMMM")</f>
        <v>julho</v>
      </c>
      <c r="F73" s="69" t="s">
        <v>21</v>
      </c>
      <c r="G73" s="58" t="s">
        <v>21</v>
      </c>
      <c r="H73" s="9"/>
      <c r="I73" s="23">
        <f>IF($H73 = "",ULTIMO_CONTATO[ALERTA ÚLTIMO CONTATO]-1,$N$1-$H73)</f>
        <v>14</v>
      </c>
      <c r="J73" s="58">
        <v>0</v>
      </c>
      <c r="K73" s="32">
        <v>0</v>
      </c>
      <c r="L73" s="44" t="str">
        <f>SELECAO[SELEÇÃO]</f>
        <v>SELECIONAR</v>
      </c>
    </row>
    <row r="74" spans="2:12" x14ac:dyDescent="0.25">
      <c r="B74" s="58">
        <v>48</v>
      </c>
      <c r="C74" s="1" t="s">
        <v>136</v>
      </c>
      <c r="D74" s="68">
        <v>24169</v>
      </c>
      <c r="E74" s="68" t="str">
        <f>TEXT($D74,"MMMM")</f>
        <v>março</v>
      </c>
      <c r="F74" s="69" t="s">
        <v>21</v>
      </c>
      <c r="G74" s="58" t="s">
        <v>21</v>
      </c>
      <c r="H74" s="9"/>
      <c r="I74" s="23">
        <f>IF($H74 = "",ULTIMO_CONTATO[ALERTA ÚLTIMO CONTATO]-1,$N$1-$H74)</f>
        <v>14</v>
      </c>
      <c r="J74" s="58">
        <v>0</v>
      </c>
      <c r="K74" s="32">
        <v>0</v>
      </c>
      <c r="L74" s="44" t="str">
        <f>SELECAO[SELEÇÃO]</f>
        <v>SELECIONAR</v>
      </c>
    </row>
    <row r="75" spans="2:12" x14ac:dyDescent="0.25">
      <c r="B75" s="58">
        <v>49</v>
      </c>
      <c r="C75" s="1" t="s">
        <v>137</v>
      </c>
      <c r="D75" s="68" t="s">
        <v>138</v>
      </c>
      <c r="E75" s="68" t="str">
        <f>TEXT($D75,"MMMM")</f>
        <v>julho</v>
      </c>
      <c r="F75" s="69" t="s">
        <v>21</v>
      </c>
      <c r="G75" s="58" t="s">
        <v>21</v>
      </c>
      <c r="H75" s="9"/>
      <c r="I75" s="23">
        <f>IF($H75 = "",ULTIMO_CONTATO[ALERTA ÚLTIMO CONTATO]-1,$N$1-$H75)</f>
        <v>14</v>
      </c>
      <c r="J75" s="58">
        <v>0</v>
      </c>
      <c r="K75" s="32">
        <v>0</v>
      </c>
      <c r="L75" s="44" t="str">
        <f>SELECAO[SELEÇÃO]</f>
        <v>SELECIONAR</v>
      </c>
    </row>
    <row r="76" spans="2:12" x14ac:dyDescent="0.25">
      <c r="B76" s="58">
        <v>50</v>
      </c>
      <c r="C76" s="1" t="s">
        <v>139</v>
      </c>
      <c r="D76" s="68">
        <v>28441</v>
      </c>
      <c r="E76" s="68" t="str">
        <f>TEXT($D76,"MMMM")</f>
        <v>novembro</v>
      </c>
      <c r="F76" s="69" t="s">
        <v>21</v>
      </c>
      <c r="G76" s="58" t="s">
        <v>21</v>
      </c>
      <c r="H76" s="9"/>
      <c r="I76" s="23">
        <f>IF($H76 = "",ULTIMO_CONTATO[ALERTA ÚLTIMO CONTATO]-1,$N$1-$H76)</f>
        <v>14</v>
      </c>
      <c r="J76" s="58">
        <v>0</v>
      </c>
      <c r="K76" s="32">
        <v>0</v>
      </c>
      <c r="L76" s="44" t="str">
        <f>SELECAO[SELEÇÃO]</f>
        <v>SELECIONAR</v>
      </c>
    </row>
    <row r="77" spans="2:12" x14ac:dyDescent="0.25">
      <c r="B77" s="58">
        <v>51</v>
      </c>
      <c r="C77" s="1" t="s">
        <v>140</v>
      </c>
      <c r="D77" s="68" t="s">
        <v>141</v>
      </c>
      <c r="E77" s="68" t="str">
        <f>TEXT($D77,"MMMM")</f>
        <v>novembro</v>
      </c>
      <c r="F77" s="69" t="s">
        <v>21</v>
      </c>
      <c r="G77" s="58" t="s">
        <v>21</v>
      </c>
      <c r="H77" s="9"/>
      <c r="I77" s="23">
        <f>IF($H77 = "",ULTIMO_CONTATO[ALERTA ÚLTIMO CONTATO]-1,$N$1-$H77)</f>
        <v>14</v>
      </c>
      <c r="J77" s="58">
        <v>0</v>
      </c>
      <c r="K77" s="32">
        <v>0</v>
      </c>
      <c r="L77" s="44" t="str">
        <f>SELECAO[SELEÇÃO]</f>
        <v>SELECIONAR</v>
      </c>
    </row>
    <row r="78" spans="2:12" x14ac:dyDescent="0.25">
      <c r="B78" s="58">
        <v>169</v>
      </c>
      <c r="C78" s="1" t="s">
        <v>142</v>
      </c>
      <c r="D78" s="68"/>
      <c r="E78" s="68" t="str">
        <f>TEXT($D78,"MMMM")</f>
        <v>janeiro</v>
      </c>
      <c r="F78" s="69" t="s">
        <v>21</v>
      </c>
      <c r="G78" s="58" t="s">
        <v>21</v>
      </c>
      <c r="H78" s="9"/>
      <c r="I78" s="23">
        <f>IF($H78 = "",ULTIMO_CONTATO[ALERTA ÚLTIMO CONTATO]-1,$N$1-$H78)</f>
        <v>14</v>
      </c>
      <c r="J78" s="58">
        <v>0</v>
      </c>
      <c r="K78" s="32">
        <v>0</v>
      </c>
      <c r="L78" s="44" t="str">
        <f>SELECAO[SELEÇÃO]</f>
        <v>SELECIONAR</v>
      </c>
    </row>
    <row r="79" spans="2:12" x14ac:dyDescent="0.25">
      <c r="B79" s="58">
        <v>52</v>
      </c>
      <c r="C79" s="1" t="s">
        <v>143</v>
      </c>
      <c r="D79" s="68">
        <v>35379</v>
      </c>
      <c r="E79" s="68" t="str">
        <f>TEXT($D79,"MMMM")</f>
        <v>novembro</v>
      </c>
      <c r="F79" s="69" t="s">
        <v>21</v>
      </c>
      <c r="G79" s="58" t="s">
        <v>21</v>
      </c>
      <c r="H79" s="9"/>
      <c r="I79" s="23">
        <f>IF($H79 = "",ULTIMO_CONTATO[ALERTA ÚLTIMO CONTATO]-1,$N$1-$H79)</f>
        <v>14</v>
      </c>
      <c r="J79" s="58">
        <v>0</v>
      </c>
      <c r="K79" s="32">
        <v>0</v>
      </c>
      <c r="L79" s="44" t="str">
        <f>SELECAO[SELEÇÃO]</f>
        <v>SELECIONAR</v>
      </c>
    </row>
    <row r="80" spans="2:12" x14ac:dyDescent="0.25">
      <c r="B80" s="58">
        <v>53</v>
      </c>
      <c r="C80" s="1" t="s">
        <v>144</v>
      </c>
      <c r="D80" s="68" t="s">
        <v>145</v>
      </c>
      <c r="E80" s="68" t="str">
        <f>TEXT($D80,"MMMM")</f>
        <v>fevereiro</v>
      </c>
      <c r="F80" s="69" t="s">
        <v>21</v>
      </c>
      <c r="G80" s="58" t="s">
        <v>21</v>
      </c>
      <c r="H80" s="9"/>
      <c r="I80" s="23">
        <f>IF($H80 = "",ULTIMO_CONTATO[ALERTA ÚLTIMO CONTATO]-1,$N$1-$H80)</f>
        <v>14</v>
      </c>
      <c r="J80" s="58">
        <v>0</v>
      </c>
      <c r="K80" s="32">
        <v>0</v>
      </c>
      <c r="L80" s="44" t="str">
        <f>SELECAO[SELEÇÃO]</f>
        <v>SELECIONAR</v>
      </c>
    </row>
    <row r="81" spans="2:12" x14ac:dyDescent="0.25">
      <c r="B81" s="58">
        <v>54</v>
      </c>
      <c r="C81" s="1" t="s">
        <v>146</v>
      </c>
      <c r="D81" s="68" t="s">
        <v>147</v>
      </c>
      <c r="E81" s="68" t="str">
        <f>TEXT($D81,"MMMM")</f>
        <v>novembro</v>
      </c>
      <c r="F81" s="69" t="s">
        <v>21</v>
      </c>
      <c r="G81" s="58" t="s">
        <v>21</v>
      </c>
      <c r="H81" s="9"/>
      <c r="I81" s="23">
        <f>IF($H81 = "",ULTIMO_CONTATO[ALERTA ÚLTIMO CONTATO]-1,$N$1-$H81)</f>
        <v>14</v>
      </c>
      <c r="J81" s="58">
        <v>0</v>
      </c>
      <c r="K81" s="32">
        <v>0</v>
      </c>
      <c r="L81" s="44" t="str">
        <f>SELECAO[SELEÇÃO]</f>
        <v>SELECIONAR</v>
      </c>
    </row>
    <row r="82" spans="2:12" x14ac:dyDescent="0.25">
      <c r="B82" s="58">
        <v>55</v>
      </c>
      <c r="C82" s="1" t="s">
        <v>148</v>
      </c>
      <c r="D82" s="68" t="s">
        <v>149</v>
      </c>
      <c r="E82" s="68" t="str">
        <f>TEXT($D82,"MMMM")</f>
        <v>maio</v>
      </c>
      <c r="F82" s="69" t="s">
        <v>21</v>
      </c>
      <c r="G82" s="58" t="s">
        <v>21</v>
      </c>
      <c r="H82" s="9"/>
      <c r="I82" s="23">
        <f>IF($H82 = "",ULTIMO_CONTATO[ALERTA ÚLTIMO CONTATO]-1,$N$1-$H82)</f>
        <v>14</v>
      </c>
      <c r="J82" s="58">
        <v>0</v>
      </c>
      <c r="K82" s="32">
        <v>0</v>
      </c>
      <c r="L82" s="44" t="str">
        <f>SELECAO[SELEÇÃO]</f>
        <v>SELECIONAR</v>
      </c>
    </row>
    <row r="83" spans="2:12" x14ac:dyDescent="0.25">
      <c r="B83" s="58">
        <v>56</v>
      </c>
      <c r="C83" s="1" t="s">
        <v>150</v>
      </c>
      <c r="D83" s="68">
        <v>34338</v>
      </c>
      <c r="E83" s="68" t="str">
        <f>TEXT($D83,"MMMM")</f>
        <v>janeiro</v>
      </c>
      <c r="F83" s="69" t="s">
        <v>21</v>
      </c>
      <c r="G83" s="58" t="s">
        <v>21</v>
      </c>
      <c r="H83" s="9"/>
      <c r="I83" s="23">
        <f>IF($H83 = "",ULTIMO_CONTATO[ALERTA ÚLTIMO CONTATO]-1,$N$1-$H83)</f>
        <v>14</v>
      </c>
      <c r="J83" s="58">
        <v>0</v>
      </c>
      <c r="K83" s="32">
        <v>0</v>
      </c>
      <c r="L83" s="44" t="str">
        <f>SELECAO[SELEÇÃO]</f>
        <v>SELECIONAR</v>
      </c>
    </row>
    <row r="84" spans="2:12" x14ac:dyDescent="0.25">
      <c r="B84" s="58">
        <v>170</v>
      </c>
      <c r="C84" s="1" t="s">
        <v>151</v>
      </c>
      <c r="D84" s="68"/>
      <c r="E84" s="68" t="str">
        <f>TEXT($D84,"MMMM")</f>
        <v>janeiro</v>
      </c>
      <c r="F84" s="69" t="s">
        <v>21</v>
      </c>
      <c r="G84" s="58" t="s">
        <v>21</v>
      </c>
      <c r="H84" s="9"/>
      <c r="I84" s="23">
        <f>IF($H84 = "",ULTIMO_CONTATO[ALERTA ÚLTIMO CONTATO]-1,$N$1-$H84)</f>
        <v>14</v>
      </c>
      <c r="J84" s="58">
        <v>0</v>
      </c>
      <c r="K84" s="32">
        <v>0</v>
      </c>
      <c r="L84" s="44" t="str">
        <f>SELECAO[SELEÇÃO]</f>
        <v>SELECIONAR</v>
      </c>
    </row>
    <row r="85" spans="2:12" x14ac:dyDescent="0.25">
      <c r="B85" s="58">
        <v>57</v>
      </c>
      <c r="C85" s="1" t="s">
        <v>152</v>
      </c>
      <c r="D85" s="68">
        <v>33062</v>
      </c>
      <c r="E85" s="68" t="str">
        <f>TEXT($D85,"MMMM")</f>
        <v>julho</v>
      </c>
      <c r="F85" s="69" t="s">
        <v>21</v>
      </c>
      <c r="G85" s="58" t="s">
        <v>21</v>
      </c>
      <c r="H85" s="9"/>
      <c r="I85" s="23">
        <f>IF($H85 = "",ULTIMO_CONTATO[ALERTA ÚLTIMO CONTATO]-1,$N$1-$H85)</f>
        <v>14</v>
      </c>
      <c r="J85" s="58">
        <v>0</v>
      </c>
      <c r="K85" s="32">
        <v>0</v>
      </c>
      <c r="L85" s="44" t="str">
        <f>SELECAO[SELEÇÃO]</f>
        <v>SELECIONAR</v>
      </c>
    </row>
    <row r="86" spans="2:12" x14ac:dyDescent="0.25">
      <c r="B86" s="58">
        <v>58</v>
      </c>
      <c r="C86" s="1" t="s">
        <v>153</v>
      </c>
      <c r="D86" s="68" t="s">
        <v>154</v>
      </c>
      <c r="E86" s="68" t="str">
        <f>TEXT($D86,"MMMM")</f>
        <v>março</v>
      </c>
      <c r="F86" s="69" t="s">
        <v>21</v>
      </c>
      <c r="G86" s="58" t="s">
        <v>21</v>
      </c>
      <c r="H86" s="9"/>
      <c r="I86" s="23">
        <f>IF($H86 = "",ULTIMO_CONTATO[ALERTA ÚLTIMO CONTATO]-1,$N$1-$H86)</f>
        <v>14</v>
      </c>
      <c r="J86" s="58">
        <v>0</v>
      </c>
      <c r="K86" s="32">
        <v>0</v>
      </c>
      <c r="L86" s="44" t="str">
        <f>SELECAO[SELEÇÃO]</f>
        <v>SELECIONAR</v>
      </c>
    </row>
    <row r="87" spans="2:12" x14ac:dyDescent="0.25">
      <c r="B87" s="58">
        <v>59</v>
      </c>
      <c r="C87" s="1" t="s">
        <v>155</v>
      </c>
      <c r="D87" s="68">
        <v>33818</v>
      </c>
      <c r="E87" s="68" t="str">
        <f>TEXT($D87,"MMMM")</f>
        <v>agosto</v>
      </c>
      <c r="F87" s="69" t="s">
        <v>21</v>
      </c>
      <c r="G87" s="58" t="s">
        <v>21</v>
      </c>
      <c r="H87" s="9"/>
      <c r="I87" s="23">
        <f>IF($H87 = "",ULTIMO_CONTATO[ALERTA ÚLTIMO CONTATO]-1,$N$1-$H87)</f>
        <v>14</v>
      </c>
      <c r="J87" s="58">
        <v>0</v>
      </c>
      <c r="K87" s="32">
        <v>0</v>
      </c>
      <c r="L87" s="44" t="str">
        <f>SELECAO[SELEÇÃO]</f>
        <v>SELECIONAR</v>
      </c>
    </row>
    <row r="88" spans="2:12" x14ac:dyDescent="0.25">
      <c r="B88" s="58">
        <v>176</v>
      </c>
      <c r="C88" s="1" t="s">
        <v>156</v>
      </c>
      <c r="D88" s="68" t="s">
        <v>157</v>
      </c>
      <c r="E88" s="68" t="str">
        <f>TEXT($D88,"MMMM")</f>
        <v>maio</v>
      </c>
      <c r="F88" s="69" t="s">
        <v>21</v>
      </c>
      <c r="G88" s="58" t="s">
        <v>21</v>
      </c>
      <c r="H88" s="9"/>
      <c r="I88" s="23">
        <f>IF($H88 = "",ULTIMO_CONTATO[ALERTA ÚLTIMO CONTATO]-1,$N$1-$H88)</f>
        <v>14</v>
      </c>
      <c r="J88" s="58">
        <v>0</v>
      </c>
      <c r="K88" s="32">
        <v>0</v>
      </c>
      <c r="L88" s="44" t="str">
        <f>SELECAO[SELEÇÃO]</f>
        <v>SELECIONAR</v>
      </c>
    </row>
    <row r="89" spans="2:12" x14ac:dyDescent="0.25">
      <c r="B89" s="58">
        <v>60</v>
      </c>
      <c r="C89" s="1" t="s">
        <v>158</v>
      </c>
      <c r="D89" s="68" t="s">
        <v>157</v>
      </c>
      <c r="E89" s="68" t="str">
        <f>TEXT($D89,"MMMM")</f>
        <v>maio</v>
      </c>
      <c r="F89" s="69" t="s">
        <v>21</v>
      </c>
      <c r="G89" s="58" t="s">
        <v>21</v>
      </c>
      <c r="H89" s="9"/>
      <c r="I89" s="23">
        <f>IF($H89 = "",ULTIMO_CONTATO[ALERTA ÚLTIMO CONTATO]-1,$N$1-$H89)</f>
        <v>14</v>
      </c>
      <c r="J89" s="58">
        <v>0</v>
      </c>
      <c r="K89" s="32">
        <v>0</v>
      </c>
      <c r="L89" s="44" t="str">
        <f>SELECAO[SELEÇÃO]</f>
        <v>SELECIONAR</v>
      </c>
    </row>
    <row r="90" spans="2:12" x14ac:dyDescent="0.25">
      <c r="B90" s="58">
        <v>226</v>
      </c>
      <c r="C90" s="1" t="s">
        <v>159</v>
      </c>
      <c r="D90" s="68"/>
      <c r="E90" s="68" t="str">
        <f>TEXT($D90,"MMMM")</f>
        <v>janeiro</v>
      </c>
      <c r="F90" s="69" t="s">
        <v>21</v>
      </c>
      <c r="G90" s="58" t="s">
        <v>21</v>
      </c>
      <c r="H90" s="9"/>
      <c r="I90" s="23">
        <f>IF($H90 = "",ULTIMO_CONTATO[ALERTA ÚLTIMO CONTATO]-1,$N$1-$H90)</f>
        <v>14</v>
      </c>
      <c r="J90" s="58">
        <v>0</v>
      </c>
      <c r="K90" s="32">
        <v>0</v>
      </c>
      <c r="L90" s="44" t="str">
        <f>SELECAO[SELEÇÃO]</f>
        <v>SELECIONAR</v>
      </c>
    </row>
    <row r="91" spans="2:12" x14ac:dyDescent="0.25">
      <c r="B91" s="58">
        <v>61</v>
      </c>
      <c r="C91" s="1" t="s">
        <v>160</v>
      </c>
      <c r="D91" s="68" t="s">
        <v>161</v>
      </c>
      <c r="E91" s="68" t="str">
        <f>TEXT($D91,"MMMM")</f>
        <v>agosto</v>
      </c>
      <c r="F91" s="69" t="s">
        <v>21</v>
      </c>
      <c r="G91" s="58" t="s">
        <v>21</v>
      </c>
      <c r="H91" s="9"/>
      <c r="I91" s="23">
        <f>IF($H91 = "",ULTIMO_CONTATO[ALERTA ÚLTIMO CONTATO]-1,$N$1-$H91)</f>
        <v>14</v>
      </c>
      <c r="J91" s="58">
        <v>0</v>
      </c>
      <c r="K91" s="32">
        <v>0</v>
      </c>
      <c r="L91" s="44" t="str">
        <f>SELECAO[SELEÇÃO]</f>
        <v>SELECIONAR</v>
      </c>
    </row>
    <row r="92" spans="2:12" x14ac:dyDescent="0.25">
      <c r="B92" s="58">
        <v>62</v>
      </c>
      <c r="C92" s="1" t="s">
        <v>162</v>
      </c>
      <c r="D92" s="68">
        <v>33335</v>
      </c>
      <c r="E92" s="68" t="str">
        <f>TEXT($D92,"MMMM")</f>
        <v>abril</v>
      </c>
      <c r="F92" s="69" t="s">
        <v>21</v>
      </c>
      <c r="G92" s="58" t="s">
        <v>21</v>
      </c>
      <c r="H92" s="9"/>
      <c r="I92" s="23">
        <f>IF($H92 = "",ULTIMO_CONTATO[ALERTA ÚLTIMO CONTATO]-1,$N$1-$H92)</f>
        <v>14</v>
      </c>
      <c r="J92" s="58">
        <v>0</v>
      </c>
      <c r="K92" s="32">
        <v>0</v>
      </c>
      <c r="L92" s="44" t="str">
        <f>SELECAO[SELEÇÃO]</f>
        <v>SELECIONAR</v>
      </c>
    </row>
    <row r="93" spans="2:12" x14ac:dyDescent="0.25">
      <c r="B93" s="58">
        <v>171</v>
      </c>
      <c r="C93" s="1" t="s">
        <v>163</v>
      </c>
      <c r="D93" s="68"/>
      <c r="E93" s="68" t="str">
        <f>TEXT($D93,"MMMM")</f>
        <v>janeiro</v>
      </c>
      <c r="F93" s="69" t="s">
        <v>21</v>
      </c>
      <c r="G93" s="58" t="s">
        <v>21</v>
      </c>
      <c r="H93" s="9"/>
      <c r="I93" s="23">
        <f>IF($H93 = "",ULTIMO_CONTATO[ALERTA ÚLTIMO CONTATO]-1,$N$1-$H93)</f>
        <v>14</v>
      </c>
      <c r="J93" s="58">
        <v>0</v>
      </c>
      <c r="K93" s="32">
        <v>0</v>
      </c>
      <c r="L93" s="44" t="str">
        <f>SELECAO[SELEÇÃO]</f>
        <v>SELECIONAR</v>
      </c>
    </row>
    <row r="94" spans="2:12" x14ac:dyDescent="0.25">
      <c r="B94" s="58">
        <v>63</v>
      </c>
      <c r="C94" s="1" t="s">
        <v>164</v>
      </c>
      <c r="D94" s="68" t="s">
        <v>165</v>
      </c>
      <c r="E94" s="68" t="str">
        <f>TEXT($D94,"MMMM")</f>
        <v>setembro</v>
      </c>
      <c r="F94" s="69" t="s">
        <v>21</v>
      </c>
      <c r="G94" s="58" t="s">
        <v>21</v>
      </c>
      <c r="H94" s="9"/>
      <c r="I94" s="23">
        <f>IF($H94 = "",ULTIMO_CONTATO[ALERTA ÚLTIMO CONTATO]-1,$N$1-$H94)</f>
        <v>14</v>
      </c>
      <c r="J94" s="58">
        <v>0</v>
      </c>
      <c r="K94" s="32">
        <v>0</v>
      </c>
      <c r="L94" s="44" t="str">
        <f>SELECAO[SELEÇÃO]</f>
        <v>SELECIONAR</v>
      </c>
    </row>
    <row r="95" spans="2:12" x14ac:dyDescent="0.25">
      <c r="B95" s="58">
        <v>172</v>
      </c>
      <c r="C95" s="1" t="s">
        <v>166</v>
      </c>
      <c r="D95" s="68" t="s">
        <v>167</v>
      </c>
      <c r="E95" s="68" t="str">
        <f>TEXT($D95,"MMMM")</f>
        <v>julho</v>
      </c>
      <c r="F95" s="69" t="s">
        <v>21</v>
      </c>
      <c r="G95" s="58" t="s">
        <v>21</v>
      </c>
      <c r="H95" s="9"/>
      <c r="I95" s="23">
        <f>IF($H95 = "",ULTIMO_CONTATO[ALERTA ÚLTIMO CONTATO]-1,$N$1-$H95)</f>
        <v>14</v>
      </c>
      <c r="J95" s="58">
        <v>0</v>
      </c>
      <c r="K95" s="32">
        <v>0</v>
      </c>
      <c r="L95" s="44" t="str">
        <f>SELECAO[SELEÇÃO]</f>
        <v>SELECIONAR</v>
      </c>
    </row>
    <row r="96" spans="2:12" x14ac:dyDescent="0.25">
      <c r="B96" s="58">
        <v>64</v>
      </c>
      <c r="C96" s="1" t="s">
        <v>168</v>
      </c>
      <c r="D96" s="68" t="s">
        <v>169</v>
      </c>
      <c r="E96" s="68" t="str">
        <f>TEXT($D96,"MMMM")</f>
        <v>setembro</v>
      </c>
      <c r="F96" s="69" t="s">
        <v>21</v>
      </c>
      <c r="G96" s="58" t="s">
        <v>21</v>
      </c>
      <c r="H96" s="9"/>
      <c r="I96" s="23">
        <f>IF($H96 = "",ULTIMO_CONTATO[ALERTA ÚLTIMO CONTATO]-1,$N$1-$H96)</f>
        <v>14</v>
      </c>
      <c r="J96" s="58">
        <v>0</v>
      </c>
      <c r="K96" s="32">
        <v>0</v>
      </c>
      <c r="L96" s="44" t="str">
        <f>SELECAO[SELEÇÃO]</f>
        <v>SELECIONAR</v>
      </c>
    </row>
    <row r="97" spans="2:12" x14ac:dyDescent="0.25">
      <c r="B97" s="58">
        <v>173</v>
      </c>
      <c r="C97" s="1" t="s">
        <v>170</v>
      </c>
      <c r="D97" s="68"/>
      <c r="E97" s="68" t="str">
        <f>TEXT($D97,"MMMM")</f>
        <v>janeiro</v>
      </c>
      <c r="F97" s="69" t="s">
        <v>21</v>
      </c>
      <c r="G97" s="58" t="s">
        <v>21</v>
      </c>
      <c r="H97" s="9"/>
      <c r="I97" s="23">
        <f>IF($H97 = "",ULTIMO_CONTATO[ALERTA ÚLTIMO CONTATO]-1,$N$1-$H97)</f>
        <v>14</v>
      </c>
      <c r="J97" s="58">
        <v>0</v>
      </c>
      <c r="K97" s="32">
        <v>0</v>
      </c>
      <c r="L97" s="44" t="str">
        <f>SELECAO[SELEÇÃO]</f>
        <v>SELECIONAR</v>
      </c>
    </row>
    <row r="98" spans="2:12" x14ac:dyDescent="0.25">
      <c r="B98" s="58">
        <v>223</v>
      </c>
      <c r="C98" s="1" t="s">
        <v>171</v>
      </c>
      <c r="D98" s="68"/>
      <c r="E98" s="68" t="str">
        <f>TEXT($D98,"MMMM")</f>
        <v>janeiro</v>
      </c>
      <c r="F98" s="69" t="s">
        <v>21</v>
      </c>
      <c r="G98" s="58" t="s">
        <v>21</v>
      </c>
      <c r="H98" s="9"/>
      <c r="I98" s="23">
        <f>IF($H98 = "",ULTIMO_CONTATO[ALERTA ÚLTIMO CONTATO]-1,$N$1-$H98)</f>
        <v>14</v>
      </c>
      <c r="J98" s="58">
        <v>0</v>
      </c>
      <c r="K98" s="32">
        <v>0</v>
      </c>
      <c r="L98" s="44" t="str">
        <f>SELECAO[SELEÇÃO]</f>
        <v>SELECIONAR</v>
      </c>
    </row>
    <row r="99" spans="2:12" x14ac:dyDescent="0.25">
      <c r="B99" s="58">
        <v>207</v>
      </c>
      <c r="C99" s="1" t="s">
        <v>171</v>
      </c>
      <c r="D99" s="68">
        <v>33182</v>
      </c>
      <c r="E99" s="68" t="str">
        <f>TEXT($D99,"MMMM")</f>
        <v>novembro</v>
      </c>
      <c r="F99" s="69" t="s">
        <v>21</v>
      </c>
      <c r="G99" s="58" t="s">
        <v>21</v>
      </c>
      <c r="H99" s="9"/>
      <c r="I99" s="23">
        <f>IF($H99 = "",ULTIMO_CONTATO[ALERTA ÚLTIMO CONTATO]-1,$N$1-$H99)</f>
        <v>14</v>
      </c>
      <c r="J99" s="58">
        <v>0</v>
      </c>
      <c r="K99" s="32">
        <v>0</v>
      </c>
      <c r="L99" s="44" t="str">
        <f>SELECAO[SELEÇÃO]</f>
        <v>SELECIONAR</v>
      </c>
    </row>
    <row r="100" spans="2:12" x14ac:dyDescent="0.25">
      <c r="B100" s="58">
        <v>65</v>
      </c>
      <c r="C100" s="1" t="s">
        <v>172</v>
      </c>
      <c r="D100" s="68" t="s">
        <v>173</v>
      </c>
      <c r="E100" s="68" t="str">
        <f>TEXT($D100,"MMMM")</f>
        <v>outubro</v>
      </c>
      <c r="F100" s="69" t="s">
        <v>21</v>
      </c>
      <c r="G100" s="58" t="s">
        <v>21</v>
      </c>
      <c r="H100" s="9"/>
      <c r="I100" s="23">
        <f>IF($H100 = "",ULTIMO_CONTATO[ALERTA ÚLTIMO CONTATO]-1,$N$1-$H100)</f>
        <v>14</v>
      </c>
      <c r="J100" s="58">
        <v>0</v>
      </c>
      <c r="K100" s="32">
        <v>0</v>
      </c>
      <c r="L100" s="44" t="str">
        <f>SELECAO[SELEÇÃO]</f>
        <v>SELECIONAR</v>
      </c>
    </row>
    <row r="101" spans="2:12" x14ac:dyDescent="0.25">
      <c r="B101" s="58">
        <v>66</v>
      </c>
      <c r="C101" s="1" t="s">
        <v>174</v>
      </c>
      <c r="D101" s="68">
        <v>33182</v>
      </c>
      <c r="E101" s="68" t="str">
        <f>TEXT($D101,"MMMM")</f>
        <v>novembro</v>
      </c>
      <c r="F101" s="69" t="s">
        <v>21</v>
      </c>
      <c r="G101" s="58" t="s">
        <v>21</v>
      </c>
      <c r="H101" s="9"/>
      <c r="I101" s="23">
        <f>IF($H101 = "",ULTIMO_CONTATO[ALERTA ÚLTIMO CONTATO]-1,$N$1-$H101)</f>
        <v>14</v>
      </c>
      <c r="J101" s="58">
        <v>0</v>
      </c>
      <c r="K101" s="32">
        <v>0</v>
      </c>
      <c r="L101" s="44" t="str">
        <f>SELECAO[SELEÇÃO]</f>
        <v>SELECIONAR</v>
      </c>
    </row>
    <row r="102" spans="2:12" x14ac:dyDescent="0.25">
      <c r="B102" s="58">
        <v>67</v>
      </c>
      <c r="C102" s="1" t="s">
        <v>175</v>
      </c>
      <c r="D102" s="68" t="s">
        <v>176</v>
      </c>
      <c r="E102" s="68" t="str">
        <f>TEXT($D102,"MMMM")</f>
        <v>abril</v>
      </c>
      <c r="F102" s="69" t="s">
        <v>21</v>
      </c>
      <c r="G102" s="58" t="s">
        <v>21</v>
      </c>
      <c r="H102" s="9"/>
      <c r="I102" s="23">
        <f>IF($H102 = "",ULTIMO_CONTATO[ALERTA ÚLTIMO CONTATO]-1,$N$1-$H102)</f>
        <v>14</v>
      </c>
      <c r="J102" s="58">
        <v>0</v>
      </c>
      <c r="K102" s="32">
        <v>0</v>
      </c>
      <c r="L102" s="44" t="str">
        <f>SELECAO[SELEÇÃO]</f>
        <v>SELECIONAR</v>
      </c>
    </row>
    <row r="103" spans="2:12" x14ac:dyDescent="0.25">
      <c r="B103" s="58">
        <v>217</v>
      </c>
      <c r="C103" s="1" t="s">
        <v>177</v>
      </c>
      <c r="D103" s="68"/>
      <c r="E103" s="68" t="str">
        <f>TEXT($D103,"MMMM")</f>
        <v>janeiro</v>
      </c>
      <c r="F103" s="69" t="s">
        <v>21</v>
      </c>
      <c r="G103" s="58" t="s">
        <v>21</v>
      </c>
      <c r="H103" s="9"/>
      <c r="I103" s="23">
        <f>IF($H103 = "",ULTIMO_CONTATO[ALERTA ÚLTIMO CONTATO]-1,$N$1-$H103)</f>
        <v>14</v>
      </c>
      <c r="J103" s="58">
        <v>0</v>
      </c>
      <c r="K103" s="32">
        <v>0</v>
      </c>
      <c r="L103" s="44" t="str">
        <f>SELECAO[SELEÇÃO]</f>
        <v>SELECIONAR</v>
      </c>
    </row>
    <row r="104" spans="2:12" x14ac:dyDescent="0.25">
      <c r="B104" s="58">
        <v>68</v>
      </c>
      <c r="C104" s="1" t="s">
        <v>178</v>
      </c>
      <c r="D104" s="68" t="s">
        <v>179</v>
      </c>
      <c r="E104" s="68" t="str">
        <f>TEXT($D104,"MMMM")</f>
        <v>maio</v>
      </c>
      <c r="F104" s="69" t="s">
        <v>21</v>
      </c>
      <c r="G104" s="58" t="s">
        <v>21</v>
      </c>
      <c r="H104" s="9"/>
      <c r="I104" s="23">
        <f>IF($H104 = "",ULTIMO_CONTATO[ALERTA ÚLTIMO CONTATO]-1,$N$1-$H104)</f>
        <v>14</v>
      </c>
      <c r="J104" s="58">
        <v>0</v>
      </c>
      <c r="K104" s="32">
        <v>0</v>
      </c>
      <c r="L104" s="44" t="str">
        <f>SELECAO[SELEÇÃO]</f>
        <v>SELECIONAR</v>
      </c>
    </row>
    <row r="105" spans="2:12" x14ac:dyDescent="0.25">
      <c r="B105" s="58">
        <v>69</v>
      </c>
      <c r="C105" s="1" t="s">
        <v>180</v>
      </c>
      <c r="D105" s="68" t="s">
        <v>181</v>
      </c>
      <c r="E105" s="68" t="str">
        <f>TEXT($D105,"MMMM")</f>
        <v>outubro</v>
      </c>
      <c r="F105" s="69" t="s">
        <v>21</v>
      </c>
      <c r="G105" s="58" t="s">
        <v>21</v>
      </c>
      <c r="H105" s="9"/>
      <c r="I105" s="23">
        <f>IF($H105 = "",ULTIMO_CONTATO[ALERTA ÚLTIMO CONTATO]-1,$N$1-$H105)</f>
        <v>14</v>
      </c>
      <c r="J105" s="58">
        <v>0</v>
      </c>
      <c r="K105" s="32">
        <v>0</v>
      </c>
      <c r="L105" s="44" t="str">
        <f>SELECAO[SELEÇÃO]</f>
        <v>SELECIONAR</v>
      </c>
    </row>
    <row r="106" spans="2:12" x14ac:dyDescent="0.25">
      <c r="B106" s="58">
        <v>70</v>
      </c>
      <c r="C106" s="1" t="s">
        <v>182</v>
      </c>
      <c r="D106" s="68">
        <v>33152</v>
      </c>
      <c r="E106" s="68" t="str">
        <f>TEXT($D106,"MMMM")</f>
        <v>outubro</v>
      </c>
      <c r="F106" s="69" t="s">
        <v>21</v>
      </c>
      <c r="G106" s="58" t="s">
        <v>21</v>
      </c>
      <c r="H106" s="9"/>
      <c r="I106" s="23">
        <f>IF($H106 = "",ULTIMO_CONTATO[ALERTA ÚLTIMO CONTATO]-1,$N$1-$H106)</f>
        <v>14</v>
      </c>
      <c r="J106" s="58">
        <v>0</v>
      </c>
      <c r="K106" s="32">
        <v>0</v>
      </c>
      <c r="L106" s="44" t="str">
        <f>SELECAO[SELEÇÃO]</f>
        <v>SELECIONAR</v>
      </c>
    </row>
    <row r="107" spans="2:12" x14ac:dyDescent="0.25">
      <c r="B107" s="58">
        <v>71</v>
      </c>
      <c r="C107" s="1" t="s">
        <v>183</v>
      </c>
      <c r="D107" s="68" t="s">
        <v>184</v>
      </c>
      <c r="E107" s="68" t="str">
        <f>TEXT($D107,"MMMM")</f>
        <v>outubro</v>
      </c>
      <c r="F107" s="69" t="s">
        <v>21</v>
      </c>
      <c r="G107" s="58" t="s">
        <v>21</v>
      </c>
      <c r="H107" s="9"/>
      <c r="I107" s="23">
        <f>IF($H107 = "",ULTIMO_CONTATO[ALERTA ÚLTIMO CONTATO]-1,$N$1-$H107)</f>
        <v>14</v>
      </c>
      <c r="J107" s="58">
        <v>0</v>
      </c>
      <c r="K107" s="32">
        <v>0</v>
      </c>
      <c r="L107" s="44" t="str">
        <f>SELECAO[SELEÇÃO]</f>
        <v>SELECIONAR</v>
      </c>
    </row>
    <row r="108" spans="2:12" x14ac:dyDescent="0.25">
      <c r="B108" s="58">
        <v>178</v>
      </c>
      <c r="C108" s="1" t="s">
        <v>185</v>
      </c>
      <c r="D108" s="68">
        <v>33674</v>
      </c>
      <c r="E108" s="68" t="str">
        <f>TEXT($D108,"MMMM")</f>
        <v>março</v>
      </c>
      <c r="F108" s="69" t="s">
        <v>21</v>
      </c>
      <c r="G108" s="58" t="s">
        <v>21</v>
      </c>
      <c r="H108" s="9"/>
      <c r="I108" s="23">
        <f>IF($H108 = "",ULTIMO_CONTATO[ALERTA ÚLTIMO CONTATO]-1,$N$1-$H108)</f>
        <v>14</v>
      </c>
      <c r="J108" s="58">
        <v>0</v>
      </c>
      <c r="K108" s="32">
        <v>0</v>
      </c>
      <c r="L108" s="44" t="str">
        <f>SELECAO[SELEÇÃO]</f>
        <v>SELECIONAR</v>
      </c>
    </row>
    <row r="109" spans="2:12" x14ac:dyDescent="0.25">
      <c r="B109" s="58">
        <v>72</v>
      </c>
      <c r="C109" s="1" t="s">
        <v>186</v>
      </c>
      <c r="D109" s="68">
        <v>29411</v>
      </c>
      <c r="E109" s="68" t="str">
        <f>TEXT($D109,"MMMM")</f>
        <v>julho</v>
      </c>
      <c r="F109" s="69" t="s">
        <v>21</v>
      </c>
      <c r="G109" s="58" t="s">
        <v>21</v>
      </c>
      <c r="H109" s="9"/>
      <c r="I109" s="23">
        <f>IF($H109 = "",ULTIMO_CONTATO[ALERTA ÚLTIMO CONTATO]-1,$N$1-$H109)</f>
        <v>14</v>
      </c>
      <c r="J109" s="58">
        <v>0</v>
      </c>
      <c r="K109" s="32">
        <v>0</v>
      </c>
      <c r="L109" s="44" t="str">
        <f>SELECAO[SELEÇÃO]</f>
        <v>SELECIONAR</v>
      </c>
    </row>
    <row r="110" spans="2:12" x14ac:dyDescent="0.25">
      <c r="B110" s="58">
        <v>73</v>
      </c>
      <c r="C110" s="1" t="s">
        <v>187</v>
      </c>
      <c r="D110" s="68">
        <v>34251</v>
      </c>
      <c r="E110" s="68" t="str">
        <f>TEXT($D110,"MMMM")</f>
        <v>outubro</v>
      </c>
      <c r="F110" s="69" t="s">
        <v>21</v>
      </c>
      <c r="G110" s="58" t="s">
        <v>21</v>
      </c>
      <c r="H110" s="9"/>
      <c r="I110" s="23">
        <f>IF($H110 = "",ULTIMO_CONTATO[ALERTA ÚLTIMO CONTATO]-1,$N$1-$H110)</f>
        <v>14</v>
      </c>
      <c r="J110" s="58">
        <v>0</v>
      </c>
      <c r="K110" s="32">
        <v>0</v>
      </c>
      <c r="L110" s="44" t="str">
        <f>SELECAO[SELEÇÃO]</f>
        <v>SELECIONAR</v>
      </c>
    </row>
    <row r="111" spans="2:12" x14ac:dyDescent="0.25">
      <c r="B111" s="58">
        <v>74</v>
      </c>
      <c r="C111" s="1" t="s">
        <v>188</v>
      </c>
      <c r="D111" s="68">
        <v>35835</v>
      </c>
      <c r="E111" s="68" t="str">
        <f>TEXT($D111,"MMMM")</f>
        <v>fevereiro</v>
      </c>
      <c r="F111" s="69" t="s">
        <v>21</v>
      </c>
      <c r="G111" s="58" t="s">
        <v>21</v>
      </c>
      <c r="H111" s="9"/>
      <c r="I111" s="23">
        <f>IF($H111 = "",ULTIMO_CONTATO[ALERTA ÚLTIMO CONTATO]-1,$N$1-$H111)</f>
        <v>14</v>
      </c>
      <c r="J111" s="58">
        <v>0</v>
      </c>
      <c r="K111" s="32">
        <v>0</v>
      </c>
      <c r="L111" s="44" t="str">
        <f>SELECAO[SELEÇÃO]</f>
        <v>SELECIONAR</v>
      </c>
    </row>
    <row r="112" spans="2:12" x14ac:dyDescent="0.25">
      <c r="B112" s="58">
        <v>75</v>
      </c>
      <c r="C112" s="1" t="s">
        <v>189</v>
      </c>
      <c r="D112" s="68" t="s">
        <v>190</v>
      </c>
      <c r="E112" s="68" t="str">
        <f>TEXT($D112,"MMMM")</f>
        <v>março</v>
      </c>
      <c r="F112" s="69" t="s">
        <v>21</v>
      </c>
      <c r="G112" s="58" t="s">
        <v>21</v>
      </c>
      <c r="H112" s="9"/>
      <c r="I112" s="23">
        <f>IF($H112 = "",ULTIMO_CONTATO[ALERTA ÚLTIMO CONTATO]-1,$N$1-$H112)</f>
        <v>14</v>
      </c>
      <c r="J112" s="58">
        <v>0</v>
      </c>
      <c r="K112" s="32">
        <v>0</v>
      </c>
      <c r="L112" s="44" t="str">
        <f>SELECAO[SELEÇÃO]</f>
        <v>SELECIONAR</v>
      </c>
    </row>
    <row r="113" spans="2:12" x14ac:dyDescent="0.25">
      <c r="B113" s="58">
        <v>76</v>
      </c>
      <c r="C113" s="1" t="s">
        <v>191</v>
      </c>
      <c r="D113" s="68">
        <v>32420</v>
      </c>
      <c r="E113" s="68" t="str">
        <f>TEXT($D113,"MMMM")</f>
        <v>outubro</v>
      </c>
      <c r="F113" s="69" t="s">
        <v>21</v>
      </c>
      <c r="G113" s="58" t="s">
        <v>21</v>
      </c>
      <c r="H113" s="9"/>
      <c r="I113" s="23">
        <f>IF($H113 = "",ULTIMO_CONTATO[ALERTA ÚLTIMO CONTATO]-1,$N$1-$H113)</f>
        <v>14</v>
      </c>
      <c r="J113" s="58">
        <v>0</v>
      </c>
      <c r="K113" s="32">
        <v>0</v>
      </c>
      <c r="L113" s="44" t="str">
        <f>SELECAO[SELEÇÃO]</f>
        <v>SELECIONAR</v>
      </c>
    </row>
    <row r="114" spans="2:12" x14ac:dyDescent="0.25">
      <c r="B114" s="58">
        <v>77</v>
      </c>
      <c r="C114" s="1" t="s">
        <v>192</v>
      </c>
      <c r="D114" s="68">
        <v>31662</v>
      </c>
      <c r="E114" s="68" t="str">
        <f>TEXT($D114,"MMMM")</f>
        <v>setembro</v>
      </c>
      <c r="F114" s="69" t="s">
        <v>21</v>
      </c>
      <c r="G114" s="58" t="s">
        <v>21</v>
      </c>
      <c r="H114" s="9"/>
      <c r="I114" s="23">
        <f>IF($H114 = "",ULTIMO_CONTATO[ALERTA ÚLTIMO CONTATO]-1,$N$1-$H114)</f>
        <v>14</v>
      </c>
      <c r="J114" s="58">
        <v>0</v>
      </c>
      <c r="K114" s="32">
        <v>0</v>
      </c>
      <c r="L114" s="44" t="str">
        <f>SELECAO[SELEÇÃO]</f>
        <v>SELECIONAR</v>
      </c>
    </row>
    <row r="115" spans="2:12" x14ac:dyDescent="0.25">
      <c r="B115" s="58">
        <v>179</v>
      </c>
      <c r="C115" s="1" t="s">
        <v>193</v>
      </c>
      <c r="D115" s="68"/>
      <c r="E115" s="68" t="str">
        <f>TEXT($D115,"MMMM")</f>
        <v>janeiro</v>
      </c>
      <c r="F115" s="69" t="s">
        <v>21</v>
      </c>
      <c r="G115" s="58" t="s">
        <v>21</v>
      </c>
      <c r="H115" s="9"/>
      <c r="I115" s="23">
        <f>IF($H115 = "",ULTIMO_CONTATO[ALERTA ÚLTIMO CONTATO]-1,$N$1-$H115)</f>
        <v>14</v>
      </c>
      <c r="J115" s="58">
        <v>0</v>
      </c>
      <c r="K115" s="32">
        <v>0</v>
      </c>
      <c r="L115" s="44" t="str">
        <f>SELECAO[SELEÇÃO]</f>
        <v>SELECIONAR</v>
      </c>
    </row>
    <row r="116" spans="2:12" x14ac:dyDescent="0.25">
      <c r="B116" s="58">
        <v>78</v>
      </c>
      <c r="C116" s="1" t="s">
        <v>194</v>
      </c>
      <c r="D116" s="68">
        <v>31329</v>
      </c>
      <c r="E116" s="68" t="str">
        <f>TEXT($D116,"MMMM")</f>
        <v>outubro</v>
      </c>
      <c r="F116" s="69" t="s">
        <v>21</v>
      </c>
      <c r="G116" s="58" t="s">
        <v>21</v>
      </c>
      <c r="H116" s="9"/>
      <c r="I116" s="23">
        <f>IF($H116 = "",ULTIMO_CONTATO[ALERTA ÚLTIMO CONTATO]-1,$N$1-$H116)</f>
        <v>14</v>
      </c>
      <c r="J116" s="58">
        <v>0</v>
      </c>
      <c r="K116" s="32">
        <v>0</v>
      </c>
      <c r="L116" s="44" t="str">
        <f>SELECAO[SELEÇÃO]</f>
        <v>SELECIONAR</v>
      </c>
    </row>
    <row r="117" spans="2:12" x14ac:dyDescent="0.25">
      <c r="B117" s="58">
        <v>79</v>
      </c>
      <c r="C117" s="1" t="s">
        <v>195</v>
      </c>
      <c r="D117" s="68" t="s">
        <v>196</v>
      </c>
      <c r="E117" s="68" t="str">
        <f>TEXT($D117,"MMMM")</f>
        <v>junho</v>
      </c>
      <c r="F117" s="69" t="s">
        <v>21</v>
      </c>
      <c r="G117" s="58" t="s">
        <v>21</v>
      </c>
      <c r="H117" s="9"/>
      <c r="I117" s="23">
        <f>IF($H117 = "",ULTIMO_CONTATO[ALERTA ÚLTIMO CONTATO]-1,$N$1-$H117)</f>
        <v>14</v>
      </c>
      <c r="J117" s="58">
        <v>0</v>
      </c>
      <c r="K117" s="32">
        <v>0</v>
      </c>
      <c r="L117" s="44" t="str">
        <f>SELECAO[SELEÇÃO]</f>
        <v>SELECIONAR</v>
      </c>
    </row>
    <row r="118" spans="2:12" x14ac:dyDescent="0.25">
      <c r="B118" s="58">
        <v>180</v>
      </c>
      <c r="C118" s="1" t="s">
        <v>197</v>
      </c>
      <c r="D118" s="68">
        <v>36471</v>
      </c>
      <c r="E118" s="68" t="str">
        <f>TEXT($D118,"MMMM")</f>
        <v>novembro</v>
      </c>
      <c r="F118" s="69" t="s">
        <v>21</v>
      </c>
      <c r="G118" s="58" t="s">
        <v>21</v>
      </c>
      <c r="H118" s="9"/>
      <c r="I118" s="23">
        <f>IF($H118 = "",ULTIMO_CONTATO[ALERTA ÚLTIMO CONTATO]-1,$N$1-$H118)</f>
        <v>14</v>
      </c>
      <c r="J118" s="58">
        <v>0</v>
      </c>
      <c r="K118" s="32">
        <v>0</v>
      </c>
      <c r="L118" s="44" t="str">
        <f>SELECAO[SELEÇÃO]</f>
        <v>SELECIONAR</v>
      </c>
    </row>
    <row r="119" spans="2:12" x14ac:dyDescent="0.25">
      <c r="B119" s="58">
        <v>80</v>
      </c>
      <c r="C119" s="1" t="s">
        <v>198</v>
      </c>
      <c r="D119" s="68">
        <v>34156</v>
      </c>
      <c r="E119" s="68" t="str">
        <f>TEXT($D119,"MMMM")</f>
        <v>julho</v>
      </c>
      <c r="F119" s="69" t="s">
        <v>21</v>
      </c>
      <c r="G119" s="58" t="s">
        <v>21</v>
      </c>
      <c r="H119" s="9"/>
      <c r="I119" s="23">
        <f>IF($H119 = "",ULTIMO_CONTATO[ALERTA ÚLTIMO CONTATO]-1,$N$1-$H119)</f>
        <v>14</v>
      </c>
      <c r="J119" s="58">
        <v>0</v>
      </c>
      <c r="K119" s="32">
        <v>0</v>
      </c>
      <c r="L119" s="44" t="str">
        <f>SELECAO[SELEÇÃO]</f>
        <v>SELECIONAR</v>
      </c>
    </row>
    <row r="120" spans="2:12" x14ac:dyDescent="0.25">
      <c r="B120" s="58">
        <v>81</v>
      </c>
      <c r="C120" s="1" t="s">
        <v>199</v>
      </c>
      <c r="D120" s="68" t="s">
        <v>200</v>
      </c>
      <c r="E120" s="68" t="str">
        <f>TEXT($D120,"MMMM")</f>
        <v>julho</v>
      </c>
      <c r="F120" s="69" t="s">
        <v>21</v>
      </c>
      <c r="G120" s="58" t="s">
        <v>21</v>
      </c>
      <c r="H120" s="9"/>
      <c r="I120" s="23">
        <f>IF($H120 = "",ULTIMO_CONTATO[ALERTA ÚLTIMO CONTATO]-1,$N$1-$H120)</f>
        <v>14</v>
      </c>
      <c r="J120" s="58">
        <v>0</v>
      </c>
      <c r="K120" s="32">
        <v>0</v>
      </c>
      <c r="L120" s="44" t="str">
        <f>SELECAO[SELEÇÃO]</f>
        <v>SELECIONAR</v>
      </c>
    </row>
    <row r="121" spans="2:12" x14ac:dyDescent="0.25">
      <c r="B121" s="58">
        <v>82</v>
      </c>
      <c r="C121" s="1" t="s">
        <v>201</v>
      </c>
      <c r="D121" s="68" t="s">
        <v>202</v>
      </c>
      <c r="E121" s="68" t="str">
        <f>TEXT($D121,"MMMM")</f>
        <v>agosto</v>
      </c>
      <c r="F121" s="69" t="s">
        <v>21</v>
      </c>
      <c r="G121" s="58" t="s">
        <v>21</v>
      </c>
      <c r="H121" s="9"/>
      <c r="I121" s="23">
        <f>IF($H121 = "",ULTIMO_CONTATO[ALERTA ÚLTIMO CONTATO]-1,$N$1-$H121)</f>
        <v>14</v>
      </c>
      <c r="J121" s="58">
        <v>0</v>
      </c>
      <c r="K121" s="32">
        <v>0</v>
      </c>
      <c r="L121" s="44" t="str">
        <f>SELECAO[SELEÇÃO]</f>
        <v>SELECIONAR</v>
      </c>
    </row>
    <row r="122" spans="2:12" x14ac:dyDescent="0.25">
      <c r="B122" s="58">
        <v>181</v>
      </c>
      <c r="C122" s="1" t="s">
        <v>203</v>
      </c>
      <c r="D122" s="68" t="s">
        <v>204</v>
      </c>
      <c r="E122" s="68" t="str">
        <f>TEXT($D122,"MMMM")</f>
        <v>março</v>
      </c>
      <c r="F122" s="69" t="s">
        <v>21</v>
      </c>
      <c r="G122" s="58" t="s">
        <v>21</v>
      </c>
      <c r="H122" s="9"/>
      <c r="I122" s="23">
        <f>IF($H122 = "",ULTIMO_CONTATO[ALERTA ÚLTIMO CONTATO]-1,$N$1-$H122)</f>
        <v>14</v>
      </c>
      <c r="J122" s="58">
        <v>0</v>
      </c>
      <c r="K122" s="32">
        <v>0</v>
      </c>
      <c r="L122" s="44" t="str">
        <f>SELECAO[SELEÇÃO]</f>
        <v>SELECIONAR</v>
      </c>
    </row>
    <row r="123" spans="2:12" x14ac:dyDescent="0.25">
      <c r="B123" s="58">
        <v>83</v>
      </c>
      <c r="C123" s="1" t="s">
        <v>205</v>
      </c>
      <c r="D123" s="68">
        <v>33825</v>
      </c>
      <c r="E123" s="68" t="str">
        <f>TEXT($D123,"MMMM")</f>
        <v>agosto</v>
      </c>
      <c r="F123" s="69" t="s">
        <v>21</v>
      </c>
      <c r="G123" s="58" t="s">
        <v>21</v>
      </c>
      <c r="H123" s="9"/>
      <c r="I123" s="23">
        <f>IF($H123 = "",ULTIMO_CONTATO[ALERTA ÚLTIMO CONTATO]-1,$N$1-$H123)</f>
        <v>14</v>
      </c>
      <c r="J123" s="58">
        <v>0</v>
      </c>
      <c r="K123" s="32">
        <v>0</v>
      </c>
      <c r="L123" s="44" t="str">
        <f>SELECAO[SELEÇÃO]</f>
        <v>SELECIONAR</v>
      </c>
    </row>
    <row r="124" spans="2:12" x14ac:dyDescent="0.25">
      <c r="B124" s="58">
        <v>84</v>
      </c>
      <c r="C124" s="1" t="s">
        <v>206</v>
      </c>
      <c r="D124" s="68">
        <v>33544</v>
      </c>
      <c r="E124" s="68" t="str">
        <f>TEXT($D124,"MMMM")</f>
        <v>novembro</v>
      </c>
      <c r="F124" s="69" t="s">
        <v>21</v>
      </c>
      <c r="G124" s="58" t="s">
        <v>21</v>
      </c>
      <c r="H124" s="9"/>
      <c r="I124" s="23">
        <f>IF($H124 = "",ULTIMO_CONTATO[ALERTA ÚLTIMO CONTATO]-1,$N$1-$H124)</f>
        <v>14</v>
      </c>
      <c r="J124" s="58">
        <v>0</v>
      </c>
      <c r="K124" s="32">
        <v>0</v>
      </c>
      <c r="L124" s="44" t="str">
        <f>SELECAO[SELEÇÃO]</f>
        <v>SELECIONAR</v>
      </c>
    </row>
    <row r="125" spans="2:12" x14ac:dyDescent="0.25">
      <c r="B125" s="58">
        <v>85</v>
      </c>
      <c r="C125" s="1" t="s">
        <v>207</v>
      </c>
      <c r="D125" s="68">
        <v>34186</v>
      </c>
      <c r="E125" s="68" t="str">
        <f>TEXT($D125,"MMMM")</f>
        <v>agosto</v>
      </c>
      <c r="F125" s="69" t="s">
        <v>21</v>
      </c>
      <c r="G125" s="58" t="s">
        <v>21</v>
      </c>
      <c r="H125" s="9"/>
      <c r="I125" s="23">
        <f>IF($H125 = "",ULTIMO_CONTATO[ALERTA ÚLTIMO CONTATO]-1,$N$1-$H125)</f>
        <v>14</v>
      </c>
      <c r="J125" s="58">
        <v>0</v>
      </c>
      <c r="K125" s="32">
        <v>0</v>
      </c>
      <c r="L125" s="44" t="str">
        <f>SELECAO[SELEÇÃO]</f>
        <v>SELECIONAR</v>
      </c>
    </row>
    <row r="126" spans="2:12" x14ac:dyDescent="0.25">
      <c r="B126" s="58">
        <v>86</v>
      </c>
      <c r="C126" s="1" t="s">
        <v>208</v>
      </c>
      <c r="D126" s="68" t="s">
        <v>209</v>
      </c>
      <c r="E126" s="68" t="str">
        <f>TEXT($D126,"MMMM")</f>
        <v>julho</v>
      </c>
      <c r="F126" s="69" t="s">
        <v>21</v>
      </c>
      <c r="G126" s="58" t="s">
        <v>21</v>
      </c>
      <c r="H126" s="9"/>
      <c r="I126" s="23">
        <f>IF($H126 = "",ULTIMO_CONTATO[ALERTA ÚLTIMO CONTATO]-1,$N$1-$H126)</f>
        <v>14</v>
      </c>
      <c r="J126" s="58">
        <v>0</v>
      </c>
      <c r="K126" s="32">
        <v>0</v>
      </c>
      <c r="L126" s="44" t="str">
        <f>SELECAO[SELEÇÃO]</f>
        <v>SELECIONAR</v>
      </c>
    </row>
    <row r="127" spans="2:12" x14ac:dyDescent="0.25">
      <c r="B127" s="58">
        <v>87</v>
      </c>
      <c r="C127" s="1" t="s">
        <v>210</v>
      </c>
      <c r="D127" s="68" t="s">
        <v>211</v>
      </c>
      <c r="E127" s="68" t="str">
        <f>TEXT($D127,"MMMM")</f>
        <v>janeiro</v>
      </c>
      <c r="F127" s="69" t="s">
        <v>21</v>
      </c>
      <c r="G127" s="58" t="s">
        <v>21</v>
      </c>
      <c r="H127" s="9"/>
      <c r="I127" s="23">
        <f>IF($H127 = "",ULTIMO_CONTATO[ALERTA ÚLTIMO CONTATO]-1,$N$1-$H127)</f>
        <v>14</v>
      </c>
      <c r="J127" s="58">
        <v>0</v>
      </c>
      <c r="K127" s="32">
        <v>0</v>
      </c>
      <c r="L127" s="44" t="str">
        <f>SELECAO[SELEÇÃO]</f>
        <v>SELECIONAR</v>
      </c>
    </row>
    <row r="128" spans="2:12" x14ac:dyDescent="0.25">
      <c r="B128" s="58">
        <v>88</v>
      </c>
      <c r="C128" s="1" t="s">
        <v>212</v>
      </c>
      <c r="D128" s="68">
        <v>30724</v>
      </c>
      <c r="E128" s="68" t="str">
        <f>TEXT($D128,"MMMM")</f>
        <v>fevereiro</v>
      </c>
      <c r="F128" s="69" t="s">
        <v>21</v>
      </c>
      <c r="G128" s="58" t="s">
        <v>21</v>
      </c>
      <c r="H128" s="9"/>
      <c r="I128" s="23">
        <f>IF($H128 = "",ULTIMO_CONTATO[ALERTA ÚLTIMO CONTATO]-1,$N$1-$H128)</f>
        <v>14</v>
      </c>
      <c r="J128" s="58">
        <v>0</v>
      </c>
      <c r="K128" s="32">
        <v>0</v>
      </c>
      <c r="L128" s="44" t="str">
        <f>SELECAO[SELEÇÃO]</f>
        <v>SELECIONAR</v>
      </c>
    </row>
    <row r="129" spans="2:12" x14ac:dyDescent="0.25">
      <c r="B129" s="58">
        <v>89</v>
      </c>
      <c r="C129" s="1" t="s">
        <v>213</v>
      </c>
      <c r="D129" s="68" t="s">
        <v>214</v>
      </c>
      <c r="E129" s="68" t="str">
        <f>TEXT($D129,"MMMM")</f>
        <v>setembro</v>
      </c>
      <c r="F129" s="69" t="s">
        <v>21</v>
      </c>
      <c r="G129" s="58" t="s">
        <v>21</v>
      </c>
      <c r="H129" s="9"/>
      <c r="I129" s="23">
        <f>IF($H129 = "",ULTIMO_CONTATO[ALERTA ÚLTIMO CONTATO]-1,$N$1-$H129)</f>
        <v>14</v>
      </c>
      <c r="J129" s="58">
        <v>0</v>
      </c>
      <c r="K129" s="32">
        <v>0</v>
      </c>
      <c r="L129" s="44" t="str">
        <f>SELECAO[SELEÇÃO]</f>
        <v>SELECIONAR</v>
      </c>
    </row>
    <row r="130" spans="2:12" x14ac:dyDescent="0.25">
      <c r="B130" s="58">
        <v>182</v>
      </c>
      <c r="C130" s="1" t="s">
        <v>215</v>
      </c>
      <c r="D130" s="68" t="s">
        <v>216</v>
      </c>
      <c r="E130" s="68" t="str">
        <f>TEXT($D130,"MMMM")</f>
        <v>abril</v>
      </c>
      <c r="F130" s="69" t="s">
        <v>21</v>
      </c>
      <c r="G130" s="58" t="s">
        <v>21</v>
      </c>
      <c r="H130" s="9"/>
      <c r="I130" s="23">
        <f>IF($H130 = "",ULTIMO_CONTATO[ALERTA ÚLTIMO CONTATO]-1,$N$1-$H130)</f>
        <v>14</v>
      </c>
      <c r="J130" s="58">
        <v>0</v>
      </c>
      <c r="K130" s="32">
        <v>0</v>
      </c>
      <c r="L130" s="44" t="str">
        <f>SELECAO[SELEÇÃO]</f>
        <v>SELECIONAR</v>
      </c>
    </row>
    <row r="131" spans="2:12" x14ac:dyDescent="0.25">
      <c r="B131" s="58">
        <v>90</v>
      </c>
      <c r="C131" s="1" t="s">
        <v>217</v>
      </c>
      <c r="D131" s="68">
        <v>34460</v>
      </c>
      <c r="E131" s="68" t="str">
        <f>TEXT($D131,"MMMM")</f>
        <v>maio</v>
      </c>
      <c r="F131" s="69" t="s">
        <v>21</v>
      </c>
      <c r="G131" s="58" t="s">
        <v>21</v>
      </c>
      <c r="H131" s="9"/>
      <c r="I131" s="23">
        <f>IF($H131 = "",ULTIMO_CONTATO[ALERTA ÚLTIMO CONTATO]-1,$N$1-$H131)</f>
        <v>14</v>
      </c>
      <c r="J131" s="58">
        <v>0</v>
      </c>
      <c r="K131" s="32">
        <v>0</v>
      </c>
      <c r="L131" s="44" t="str">
        <f>SELECAO[SELEÇÃO]</f>
        <v>SELECIONAR</v>
      </c>
    </row>
    <row r="132" spans="2:12" x14ac:dyDescent="0.25">
      <c r="B132" s="58">
        <v>91</v>
      </c>
      <c r="C132" s="1" t="s">
        <v>218</v>
      </c>
      <c r="D132" s="68">
        <v>33122</v>
      </c>
      <c r="E132" s="68" t="str">
        <f>TEXT($D132,"MMMM")</f>
        <v>setembro</v>
      </c>
      <c r="F132" s="69" t="s">
        <v>21</v>
      </c>
      <c r="G132" s="58" t="s">
        <v>21</v>
      </c>
      <c r="H132" s="9"/>
      <c r="I132" s="23">
        <f>IF($H132 = "",ULTIMO_CONTATO[ALERTA ÚLTIMO CONTATO]-1,$N$1-$H132)</f>
        <v>14</v>
      </c>
      <c r="J132" s="58">
        <v>0</v>
      </c>
      <c r="K132" s="32">
        <v>0</v>
      </c>
      <c r="L132" s="44" t="str">
        <f>SELECAO[SELEÇÃO]</f>
        <v>SELECIONAR</v>
      </c>
    </row>
    <row r="133" spans="2:12" x14ac:dyDescent="0.25">
      <c r="B133" s="58">
        <v>183</v>
      </c>
      <c r="C133" s="1" t="s">
        <v>219</v>
      </c>
      <c r="D133" s="68" t="s">
        <v>220</v>
      </c>
      <c r="E133" s="68" t="str">
        <f>TEXT($D133,"MMMM")</f>
        <v>maio</v>
      </c>
      <c r="F133" s="69" t="s">
        <v>21</v>
      </c>
      <c r="G133" s="58" t="s">
        <v>21</v>
      </c>
      <c r="H133" s="9"/>
      <c r="I133" s="23">
        <f>IF($H133 = "",ULTIMO_CONTATO[ALERTA ÚLTIMO CONTATO]-1,$N$1-$H133)</f>
        <v>14</v>
      </c>
      <c r="J133" s="58">
        <v>0</v>
      </c>
      <c r="K133" s="32">
        <v>0</v>
      </c>
      <c r="L133" s="44" t="str">
        <f>SELECAO[SELEÇÃO]</f>
        <v>SELECIONAR</v>
      </c>
    </row>
    <row r="134" spans="2:12" x14ac:dyDescent="0.25">
      <c r="B134" s="58">
        <v>92</v>
      </c>
      <c r="C134" s="1" t="s">
        <v>221</v>
      </c>
      <c r="D134" s="68" t="s">
        <v>220</v>
      </c>
      <c r="E134" s="68" t="str">
        <f>TEXT($D134,"MMMM")</f>
        <v>maio</v>
      </c>
      <c r="F134" s="69" t="s">
        <v>21</v>
      </c>
      <c r="G134" s="58" t="s">
        <v>21</v>
      </c>
      <c r="H134" s="9"/>
      <c r="I134" s="23">
        <f>IF($H134 = "",ULTIMO_CONTATO[ALERTA ÚLTIMO CONTATO]-1,$N$1-$H134)</f>
        <v>14</v>
      </c>
      <c r="J134" s="58">
        <v>0</v>
      </c>
      <c r="K134" s="32">
        <v>0</v>
      </c>
      <c r="L134" s="44" t="str">
        <f>SELECAO[SELEÇÃO]</f>
        <v>SELECIONAR</v>
      </c>
    </row>
    <row r="135" spans="2:12" x14ac:dyDescent="0.25">
      <c r="B135" s="58">
        <v>93</v>
      </c>
      <c r="C135" s="1" t="s">
        <v>222</v>
      </c>
      <c r="D135" s="68">
        <v>34341</v>
      </c>
      <c r="E135" s="68" t="str">
        <f>TEXT($D135,"MMMM")</f>
        <v>janeiro</v>
      </c>
      <c r="F135" s="69" t="s">
        <v>21</v>
      </c>
      <c r="G135" s="58" t="s">
        <v>21</v>
      </c>
      <c r="H135" s="9"/>
      <c r="I135" s="23">
        <f>IF($H135 = "",ULTIMO_CONTATO[ALERTA ÚLTIMO CONTATO]-1,$N$1-$H135)</f>
        <v>14</v>
      </c>
      <c r="J135" s="58">
        <v>0</v>
      </c>
      <c r="K135" s="32">
        <v>0</v>
      </c>
      <c r="L135" s="44" t="str">
        <f>SELECAO[SELEÇÃO]</f>
        <v>SELECIONAR</v>
      </c>
    </row>
    <row r="136" spans="2:12" x14ac:dyDescent="0.25">
      <c r="B136" s="58">
        <v>94</v>
      </c>
      <c r="C136" s="1" t="s">
        <v>223</v>
      </c>
      <c r="D136" s="68" t="s">
        <v>224</v>
      </c>
      <c r="E136" s="68" t="str">
        <f>TEXT($D136,"MMMM")</f>
        <v>abril</v>
      </c>
      <c r="F136" s="69" t="s">
        <v>21</v>
      </c>
      <c r="G136" s="58" t="s">
        <v>21</v>
      </c>
      <c r="H136" s="9"/>
      <c r="I136" s="23">
        <f>IF($H136 = "",ULTIMO_CONTATO[ALERTA ÚLTIMO CONTATO]-1,$N$1-$H136)</f>
        <v>14</v>
      </c>
      <c r="J136" s="58">
        <v>0</v>
      </c>
      <c r="K136" s="32">
        <v>0</v>
      </c>
      <c r="L136" s="44" t="str">
        <f>SELECAO[SELEÇÃO]</f>
        <v>SELECIONAR</v>
      </c>
    </row>
    <row r="137" spans="2:12" x14ac:dyDescent="0.25">
      <c r="B137" s="58">
        <v>174</v>
      </c>
      <c r="C137" s="1" t="s">
        <v>225</v>
      </c>
      <c r="D137" s="68">
        <v>35256</v>
      </c>
      <c r="E137" s="68" t="str">
        <f>TEXT($D137,"MMMM")</f>
        <v>julho</v>
      </c>
      <c r="F137" s="69" t="s">
        <v>21</v>
      </c>
      <c r="G137" s="58" t="s">
        <v>21</v>
      </c>
      <c r="H137" s="9"/>
      <c r="I137" s="23">
        <f>IF($H137 = "",ULTIMO_CONTATO[ALERTA ÚLTIMO CONTATO]-1,$N$1-$H137)</f>
        <v>14</v>
      </c>
      <c r="J137" s="58">
        <v>0</v>
      </c>
      <c r="K137" s="32">
        <v>0</v>
      </c>
      <c r="L137" s="44" t="str">
        <f>SELECAO[SELEÇÃO]</f>
        <v>SELECIONAR</v>
      </c>
    </row>
    <row r="138" spans="2:12" x14ac:dyDescent="0.25">
      <c r="B138" s="58">
        <v>194</v>
      </c>
      <c r="C138" s="1" t="s">
        <v>226</v>
      </c>
      <c r="D138" s="68" t="s">
        <v>227</v>
      </c>
      <c r="E138" s="68" t="str">
        <f>TEXT($D138,"MMMM")</f>
        <v>julho</v>
      </c>
      <c r="F138" s="69" t="s">
        <v>21</v>
      </c>
      <c r="G138" s="58" t="s">
        <v>21</v>
      </c>
      <c r="H138" s="9"/>
      <c r="I138" s="23">
        <f>IF($H138 = "",ULTIMO_CONTATO[ALERTA ÚLTIMO CONTATO]-1,$N$1-$H138)</f>
        <v>14</v>
      </c>
      <c r="J138" s="58">
        <v>0</v>
      </c>
      <c r="K138" s="32">
        <v>0</v>
      </c>
      <c r="L138" s="44" t="str">
        <f>SELECAO[SELEÇÃO]</f>
        <v>SELECIONAR</v>
      </c>
    </row>
    <row r="139" spans="2:12" x14ac:dyDescent="0.25">
      <c r="B139" s="58">
        <v>95</v>
      </c>
      <c r="C139" s="1" t="s">
        <v>228</v>
      </c>
      <c r="D139" s="68" t="s">
        <v>227</v>
      </c>
      <c r="E139" s="68" t="str">
        <f>TEXT($D139,"MMMM")</f>
        <v>julho</v>
      </c>
      <c r="F139" s="69" t="s">
        <v>21</v>
      </c>
      <c r="G139" s="58" t="s">
        <v>21</v>
      </c>
      <c r="H139" s="9"/>
      <c r="I139" s="23">
        <f>IF($H139 = "",ULTIMO_CONTATO[ALERTA ÚLTIMO CONTATO]-1,$N$1-$H139)</f>
        <v>14</v>
      </c>
      <c r="J139" s="58">
        <v>0</v>
      </c>
      <c r="K139" s="32">
        <v>0</v>
      </c>
      <c r="L139" s="44" t="str">
        <f>SELECAO[SELEÇÃO]</f>
        <v>SELECIONAR</v>
      </c>
    </row>
    <row r="140" spans="2:12" x14ac:dyDescent="0.25">
      <c r="B140" s="58">
        <v>96</v>
      </c>
      <c r="C140" s="1" t="s">
        <v>229</v>
      </c>
      <c r="D140" s="68">
        <v>33298</v>
      </c>
      <c r="E140" s="68" t="str">
        <f>TEXT($D140,"MMMM")</f>
        <v>março</v>
      </c>
      <c r="F140" s="69" t="s">
        <v>21</v>
      </c>
      <c r="G140" s="58" t="s">
        <v>21</v>
      </c>
      <c r="H140" s="9"/>
      <c r="I140" s="23">
        <f>IF($H140 = "",ULTIMO_CONTATO[ALERTA ÚLTIMO CONTATO]-1,$N$1-$H140)</f>
        <v>14</v>
      </c>
      <c r="J140" s="58">
        <v>0</v>
      </c>
      <c r="K140" s="32">
        <v>0</v>
      </c>
      <c r="L140" s="44" t="str">
        <f>SELECAO[SELEÇÃO]</f>
        <v>SELECIONAR</v>
      </c>
    </row>
    <row r="141" spans="2:12" x14ac:dyDescent="0.25">
      <c r="B141" s="58">
        <v>97</v>
      </c>
      <c r="C141" s="1" t="s">
        <v>230</v>
      </c>
      <c r="D141" s="68">
        <v>34980</v>
      </c>
      <c r="E141" s="68" t="str">
        <f>TEXT($D141,"MMMM")</f>
        <v>outubro</v>
      </c>
      <c r="F141" s="69" t="s">
        <v>21</v>
      </c>
      <c r="G141" s="58" t="s">
        <v>21</v>
      </c>
      <c r="H141" s="9"/>
      <c r="I141" s="23">
        <f>IF($H141 = "",ULTIMO_CONTATO[ALERTA ÚLTIMO CONTATO]-1,$N$1-$H141)</f>
        <v>14</v>
      </c>
      <c r="J141" s="58">
        <v>0</v>
      </c>
      <c r="K141" s="32">
        <v>0</v>
      </c>
      <c r="L141" s="44" t="str">
        <f>SELECAO[SELEÇÃO]</f>
        <v>SELECIONAR</v>
      </c>
    </row>
    <row r="142" spans="2:12" x14ac:dyDescent="0.25">
      <c r="B142" s="58">
        <v>98</v>
      </c>
      <c r="C142" s="1" t="s">
        <v>231</v>
      </c>
      <c r="D142" s="68">
        <v>34821</v>
      </c>
      <c r="E142" s="68" t="str">
        <f>TEXT($D142,"MMMM")</f>
        <v>maio</v>
      </c>
      <c r="F142" s="69" t="s">
        <v>21</v>
      </c>
      <c r="G142" s="58" t="s">
        <v>21</v>
      </c>
      <c r="H142" s="9"/>
      <c r="I142" s="23">
        <f>IF($H142 = "",ULTIMO_CONTATO[ALERTA ÚLTIMO CONTATO]-1,$N$1-$H142)</f>
        <v>14</v>
      </c>
      <c r="J142" s="58">
        <v>0</v>
      </c>
      <c r="K142" s="32">
        <v>0</v>
      </c>
      <c r="L142" s="44" t="str">
        <f>SELECAO[SELEÇÃO]</f>
        <v>SELECIONAR</v>
      </c>
    </row>
    <row r="143" spans="2:12" x14ac:dyDescent="0.25">
      <c r="B143" s="58">
        <v>99</v>
      </c>
      <c r="C143" s="1" t="s">
        <v>232</v>
      </c>
      <c r="D143" s="68">
        <v>36135</v>
      </c>
      <c r="E143" s="68" t="str">
        <f>TEXT($D143,"MMMM")</f>
        <v>dezembro</v>
      </c>
      <c r="F143" s="69" t="s">
        <v>21</v>
      </c>
      <c r="G143" s="58" t="s">
        <v>21</v>
      </c>
      <c r="H143" s="9"/>
      <c r="I143" s="23">
        <f>IF($H143 = "",ULTIMO_CONTATO[ALERTA ÚLTIMO CONTATO]-1,$N$1-$H143)</f>
        <v>14</v>
      </c>
      <c r="J143" s="58">
        <v>0</v>
      </c>
      <c r="K143" s="32">
        <v>0</v>
      </c>
      <c r="L143" s="44" t="str">
        <f>SELECAO[SELEÇÃO]</f>
        <v>SELECIONAR</v>
      </c>
    </row>
    <row r="144" spans="2:12" x14ac:dyDescent="0.25">
      <c r="B144" s="58">
        <v>100</v>
      </c>
      <c r="C144" s="1" t="s">
        <v>233</v>
      </c>
      <c r="D144" s="68">
        <v>34065</v>
      </c>
      <c r="E144" s="68" t="str">
        <f>TEXT($D144,"MMMM")</f>
        <v>abril</v>
      </c>
      <c r="F144" s="69" t="s">
        <v>21</v>
      </c>
      <c r="G144" s="58" t="s">
        <v>21</v>
      </c>
      <c r="H144" s="9"/>
      <c r="I144" s="23">
        <f>IF($H144 = "",ULTIMO_CONTATO[ALERTA ÚLTIMO CONTATO]-1,$N$1-$H144)</f>
        <v>14</v>
      </c>
      <c r="J144" s="58">
        <v>0</v>
      </c>
      <c r="K144" s="32">
        <v>0</v>
      </c>
      <c r="L144" s="44" t="str">
        <f>SELECAO[SELEÇÃO]</f>
        <v>SELECIONAR</v>
      </c>
    </row>
    <row r="145" spans="2:12" x14ac:dyDescent="0.25">
      <c r="B145" s="58">
        <v>101</v>
      </c>
      <c r="C145" s="1" t="s">
        <v>234</v>
      </c>
      <c r="D145" s="68" t="s">
        <v>235</v>
      </c>
      <c r="E145" s="68" t="str">
        <f>TEXT($D145,"MMMM")</f>
        <v>junho</v>
      </c>
      <c r="F145" s="69" t="s">
        <v>21</v>
      </c>
      <c r="G145" s="58" t="s">
        <v>21</v>
      </c>
      <c r="H145" s="9"/>
      <c r="I145" s="23">
        <f>IF($H145 = "",ULTIMO_CONTATO[ALERTA ÚLTIMO CONTATO]-1,$N$1-$H145)</f>
        <v>14</v>
      </c>
      <c r="J145" s="58">
        <v>0</v>
      </c>
      <c r="K145" s="32">
        <v>0</v>
      </c>
      <c r="L145" s="44" t="str">
        <f>SELECAO[SELEÇÃO]</f>
        <v>SELECIONAR</v>
      </c>
    </row>
    <row r="146" spans="2:12" x14ac:dyDescent="0.25">
      <c r="B146" s="58">
        <v>102</v>
      </c>
      <c r="C146" s="1" t="s">
        <v>236</v>
      </c>
      <c r="D146" s="68">
        <v>30114</v>
      </c>
      <c r="E146" s="68" t="str">
        <f>TEXT($D146,"MMMM")</f>
        <v>junho</v>
      </c>
      <c r="F146" s="69" t="s">
        <v>21</v>
      </c>
      <c r="G146" s="58" t="s">
        <v>21</v>
      </c>
      <c r="H146" s="9"/>
      <c r="I146" s="23">
        <f>IF($H146 = "",ULTIMO_CONTATO[ALERTA ÚLTIMO CONTATO]-1,$N$1-$H146)</f>
        <v>14</v>
      </c>
      <c r="J146" s="58">
        <v>0</v>
      </c>
      <c r="K146" s="32">
        <v>0</v>
      </c>
      <c r="L146" s="44" t="str">
        <f>SELECAO[SELEÇÃO]</f>
        <v>SELECIONAR</v>
      </c>
    </row>
    <row r="147" spans="2:12" x14ac:dyDescent="0.25">
      <c r="B147" s="58">
        <v>222</v>
      </c>
      <c r="C147" s="1" t="s">
        <v>237</v>
      </c>
      <c r="D147" s="68">
        <v>30114</v>
      </c>
      <c r="E147" s="68" t="str">
        <f>TEXT($D147,"MMMM")</f>
        <v>junho</v>
      </c>
      <c r="F147" s="69" t="s">
        <v>21</v>
      </c>
      <c r="G147" s="58" t="s">
        <v>21</v>
      </c>
      <c r="H147" s="9"/>
      <c r="I147" s="23">
        <f>IF($H147 = "",ULTIMO_CONTATO[ALERTA ÚLTIMO CONTATO]-1,$N$1-$H147)</f>
        <v>14</v>
      </c>
      <c r="J147" s="58">
        <v>0</v>
      </c>
      <c r="K147" s="32">
        <v>0</v>
      </c>
      <c r="L147" s="44" t="str">
        <f>SELECAO[SELEÇÃO]</f>
        <v>SELECIONAR</v>
      </c>
    </row>
    <row r="148" spans="2:12" x14ac:dyDescent="0.25">
      <c r="B148" s="58">
        <v>175</v>
      </c>
      <c r="C148" s="1" t="s">
        <v>238</v>
      </c>
      <c r="D148" s="68">
        <v>35654</v>
      </c>
      <c r="E148" s="68" t="str">
        <f>TEXT($D148,"MMMM")</f>
        <v>agosto</v>
      </c>
      <c r="F148" s="69" t="s">
        <v>21</v>
      </c>
      <c r="G148" s="58" t="s">
        <v>21</v>
      </c>
      <c r="H148" s="9"/>
      <c r="I148" s="23">
        <f>IF($H148 = "",ULTIMO_CONTATO[ALERTA ÚLTIMO CONTATO]-1,$N$1-$H148)</f>
        <v>14</v>
      </c>
      <c r="J148" s="58">
        <v>0</v>
      </c>
      <c r="K148" s="32">
        <v>0</v>
      </c>
      <c r="L148" s="44" t="str">
        <f>SELECAO[SELEÇÃO]</f>
        <v>SELECIONAR</v>
      </c>
    </row>
    <row r="149" spans="2:12" x14ac:dyDescent="0.25">
      <c r="B149" s="58">
        <v>184</v>
      </c>
      <c r="C149" s="1" t="s">
        <v>239</v>
      </c>
      <c r="D149" s="68"/>
      <c r="E149" s="68" t="str">
        <f>TEXT($D149,"MMMM")</f>
        <v>janeiro</v>
      </c>
      <c r="F149" s="69" t="s">
        <v>21</v>
      </c>
      <c r="G149" s="58" t="s">
        <v>21</v>
      </c>
      <c r="H149" s="9"/>
      <c r="I149" s="23">
        <f>IF($H149 = "",ULTIMO_CONTATO[ALERTA ÚLTIMO CONTATO]-1,$N$1-$H149)</f>
        <v>14</v>
      </c>
      <c r="J149" s="58">
        <v>0</v>
      </c>
      <c r="K149" s="32">
        <v>0</v>
      </c>
      <c r="L149" s="44" t="str">
        <f>SELECAO[SELEÇÃO]</f>
        <v>SELECIONAR</v>
      </c>
    </row>
    <row r="150" spans="2:12" x14ac:dyDescent="0.25">
      <c r="B150" s="58">
        <v>103</v>
      </c>
      <c r="C150" s="1" t="s">
        <v>240</v>
      </c>
      <c r="D150" s="68" t="s">
        <v>241</v>
      </c>
      <c r="E150" s="68" t="str">
        <f>TEXT($D150,"MMMM")</f>
        <v>fevereiro</v>
      </c>
      <c r="F150" s="69" t="s">
        <v>21</v>
      </c>
      <c r="G150" s="58" t="s">
        <v>21</v>
      </c>
      <c r="H150" s="9"/>
      <c r="I150" s="23">
        <f>IF($H150 = "",ULTIMO_CONTATO[ALERTA ÚLTIMO CONTATO]-1,$N$1-$H150)</f>
        <v>14</v>
      </c>
      <c r="J150" s="58">
        <v>0</v>
      </c>
      <c r="K150" s="32">
        <v>0</v>
      </c>
      <c r="L150" s="44" t="str">
        <f>SELECAO[SELEÇÃO]</f>
        <v>SELECIONAR</v>
      </c>
    </row>
    <row r="151" spans="2:12" x14ac:dyDescent="0.25">
      <c r="B151" s="58">
        <v>224</v>
      </c>
      <c r="C151" s="1" t="s">
        <v>242</v>
      </c>
      <c r="D151" s="68"/>
      <c r="E151" s="68" t="str">
        <f>TEXT($D151,"MMMM")</f>
        <v>janeiro</v>
      </c>
      <c r="F151" s="69" t="s">
        <v>21</v>
      </c>
      <c r="G151" s="58" t="s">
        <v>21</v>
      </c>
      <c r="H151" s="9"/>
      <c r="I151" s="23">
        <f>IF($H151 = "",ULTIMO_CONTATO[ALERTA ÚLTIMO CONTATO]-1,$N$1-$H151)</f>
        <v>14</v>
      </c>
      <c r="J151" s="58">
        <v>0</v>
      </c>
      <c r="K151" s="32">
        <v>0</v>
      </c>
      <c r="L151" s="44" t="str">
        <f>SELECAO[SELEÇÃO]</f>
        <v>SELECIONAR</v>
      </c>
    </row>
    <row r="152" spans="2:12" x14ac:dyDescent="0.25">
      <c r="B152" s="58">
        <v>104</v>
      </c>
      <c r="C152" s="1" t="s">
        <v>243</v>
      </c>
      <c r="D152" s="68" t="s">
        <v>244</v>
      </c>
      <c r="E152" s="68" t="str">
        <f>TEXT($D152,"MMMM")</f>
        <v>março</v>
      </c>
      <c r="F152" s="69" t="s">
        <v>21</v>
      </c>
      <c r="G152" s="58" t="s">
        <v>21</v>
      </c>
      <c r="H152" s="9"/>
      <c r="I152" s="23">
        <f>IF($H152 = "",ULTIMO_CONTATO[ALERTA ÚLTIMO CONTATO]-1,$N$1-$H152)</f>
        <v>14</v>
      </c>
      <c r="J152" s="58">
        <v>0</v>
      </c>
      <c r="K152" s="32">
        <v>0</v>
      </c>
      <c r="L152" s="44" t="str">
        <f>SELECAO[SELEÇÃO]</f>
        <v>SELECIONAR</v>
      </c>
    </row>
    <row r="153" spans="2:12" x14ac:dyDescent="0.25">
      <c r="B153" s="58">
        <v>105</v>
      </c>
      <c r="C153" s="1" t="s">
        <v>245</v>
      </c>
      <c r="D153" s="68" t="s">
        <v>246</v>
      </c>
      <c r="E153" s="68" t="str">
        <f>TEXT($D153,"MMMM")</f>
        <v>julho</v>
      </c>
      <c r="F153" s="69" t="s">
        <v>21</v>
      </c>
      <c r="G153" s="58" t="s">
        <v>21</v>
      </c>
      <c r="H153" s="9"/>
      <c r="I153" s="23">
        <f>IF($H153 = "",ULTIMO_CONTATO[ALERTA ÚLTIMO CONTATO]-1,$N$1-$H153)</f>
        <v>14</v>
      </c>
      <c r="J153" s="58">
        <v>0</v>
      </c>
      <c r="K153" s="32">
        <v>0</v>
      </c>
      <c r="L153" s="44" t="str">
        <f>SELECAO[SELEÇÃO]</f>
        <v>SELECIONAR</v>
      </c>
    </row>
    <row r="154" spans="2:12" x14ac:dyDescent="0.25">
      <c r="B154" s="58">
        <v>218</v>
      </c>
      <c r="C154" s="1" t="s">
        <v>247</v>
      </c>
      <c r="D154" s="68"/>
      <c r="E154" s="68" t="str">
        <f>TEXT($D154,"MMMM")</f>
        <v>janeiro</v>
      </c>
      <c r="F154" s="69" t="s">
        <v>21</v>
      </c>
      <c r="G154" s="58" t="s">
        <v>21</v>
      </c>
      <c r="H154" s="9"/>
      <c r="I154" s="23">
        <f>IF($H154 = "",ULTIMO_CONTATO[ALERTA ÚLTIMO CONTATO]-1,$N$1-$H154)</f>
        <v>14</v>
      </c>
      <c r="J154" s="58">
        <v>0</v>
      </c>
      <c r="K154" s="32">
        <v>0</v>
      </c>
      <c r="L154" s="44" t="str">
        <f>SELECAO[SELEÇÃO]</f>
        <v>SELECIONAR</v>
      </c>
    </row>
    <row r="155" spans="2:12" x14ac:dyDescent="0.25">
      <c r="B155" s="58">
        <v>106</v>
      </c>
      <c r="C155" s="1" t="s">
        <v>248</v>
      </c>
      <c r="D155" s="68">
        <v>33607</v>
      </c>
      <c r="E155" s="68" t="str">
        <f>TEXT($D155,"MMMM")</f>
        <v>janeiro</v>
      </c>
      <c r="F155" s="69" t="s">
        <v>21</v>
      </c>
      <c r="G155" s="58" t="s">
        <v>21</v>
      </c>
      <c r="H155" s="9"/>
      <c r="I155" s="23">
        <f>IF($H155 = "",ULTIMO_CONTATO[ALERTA ÚLTIMO CONTATO]-1,$N$1-$H155)</f>
        <v>14</v>
      </c>
      <c r="J155" s="58">
        <v>0</v>
      </c>
      <c r="K155" s="32">
        <v>0</v>
      </c>
      <c r="L155" s="44" t="str">
        <f>SELECAO[SELEÇÃO]</f>
        <v>SELECIONAR</v>
      </c>
    </row>
    <row r="156" spans="2:12" x14ac:dyDescent="0.25">
      <c r="B156" s="58">
        <v>196</v>
      </c>
      <c r="C156" s="1" t="s">
        <v>249</v>
      </c>
      <c r="D156" s="68" t="s">
        <v>250</v>
      </c>
      <c r="E156" s="68" t="str">
        <f>TEXT($D156,"MMMM")</f>
        <v>maio</v>
      </c>
      <c r="F156" s="69" t="s">
        <v>21</v>
      </c>
      <c r="G156" s="58" t="s">
        <v>21</v>
      </c>
      <c r="H156" s="9"/>
      <c r="I156" s="23">
        <f>IF($H156 = "",ULTIMO_CONTATO[ALERTA ÚLTIMO CONTATO]-1,$N$1-$H156)</f>
        <v>14</v>
      </c>
      <c r="J156" s="58">
        <v>0</v>
      </c>
      <c r="K156" s="32">
        <v>0</v>
      </c>
      <c r="L156" s="44" t="str">
        <f>SELECAO[SELEÇÃO]</f>
        <v>SELECIONAR</v>
      </c>
    </row>
    <row r="157" spans="2:12" x14ac:dyDescent="0.25">
      <c r="B157" s="58">
        <v>107</v>
      </c>
      <c r="C157" s="1" t="s">
        <v>251</v>
      </c>
      <c r="D157" s="68">
        <v>34069</v>
      </c>
      <c r="E157" s="68" t="str">
        <f>TEXT($D157,"MMMM")</f>
        <v>abril</v>
      </c>
      <c r="F157" s="69" t="s">
        <v>21</v>
      </c>
      <c r="G157" s="58" t="s">
        <v>21</v>
      </c>
      <c r="H157" s="9"/>
      <c r="I157" s="23">
        <f>IF($H157 = "",ULTIMO_CONTATO[ALERTA ÚLTIMO CONTATO]-1,$N$1-$H157)</f>
        <v>14</v>
      </c>
      <c r="J157" s="58">
        <v>0</v>
      </c>
      <c r="K157" s="32">
        <v>0</v>
      </c>
      <c r="L157" s="44" t="str">
        <f>SELECAO[SELEÇÃO]</f>
        <v>SELECIONAR</v>
      </c>
    </row>
    <row r="158" spans="2:12" x14ac:dyDescent="0.25">
      <c r="B158" s="58">
        <v>108</v>
      </c>
      <c r="C158" s="1" t="s">
        <v>252</v>
      </c>
      <c r="D158" s="68">
        <v>35706</v>
      </c>
      <c r="E158" s="68" t="str">
        <f>TEXT($D158,"MMMM")</f>
        <v>outubro</v>
      </c>
      <c r="F158" s="69" t="s">
        <v>21</v>
      </c>
      <c r="G158" s="58" t="s">
        <v>21</v>
      </c>
      <c r="H158" s="9"/>
      <c r="I158" s="23">
        <f>IF($H158 = "",ULTIMO_CONTATO[ALERTA ÚLTIMO CONTATO]-1,$N$1-$H158)</f>
        <v>14</v>
      </c>
      <c r="J158" s="58">
        <v>0</v>
      </c>
      <c r="K158" s="32">
        <v>0</v>
      </c>
      <c r="L158" s="44" t="str">
        <f>SELECAO[SELEÇÃO]</f>
        <v>SELECIONAR</v>
      </c>
    </row>
    <row r="159" spans="2:12" x14ac:dyDescent="0.25">
      <c r="B159" s="58">
        <v>216</v>
      </c>
      <c r="C159" s="1" t="s">
        <v>253</v>
      </c>
      <c r="D159" s="68" t="s">
        <v>254</v>
      </c>
      <c r="E159" s="68" t="str">
        <f>TEXT($D159,"MMMM")</f>
        <v>março</v>
      </c>
      <c r="F159" s="69" t="s">
        <v>21</v>
      </c>
      <c r="G159" s="58" t="s">
        <v>21</v>
      </c>
      <c r="H159" s="9"/>
      <c r="I159" s="23">
        <f>IF($H159 = "",ULTIMO_CONTATO[ALERTA ÚLTIMO CONTATO]-1,$N$1-$H159)</f>
        <v>14</v>
      </c>
      <c r="J159" s="58">
        <v>0</v>
      </c>
      <c r="K159" s="32">
        <v>0</v>
      </c>
      <c r="L159" s="44" t="str">
        <f>SELECAO[SELEÇÃO]</f>
        <v>SELECIONAR</v>
      </c>
    </row>
    <row r="160" spans="2:12" x14ac:dyDescent="0.25">
      <c r="B160" s="58">
        <v>109</v>
      </c>
      <c r="C160" s="1" t="s">
        <v>255</v>
      </c>
      <c r="D160" s="68" t="s">
        <v>254</v>
      </c>
      <c r="E160" s="68" t="str">
        <f>TEXT($D160,"MMMM")</f>
        <v>março</v>
      </c>
      <c r="F160" s="69" t="s">
        <v>21</v>
      </c>
      <c r="G160" s="58" t="s">
        <v>21</v>
      </c>
      <c r="H160" s="9"/>
      <c r="I160" s="23">
        <f>IF($H160 = "",ULTIMO_CONTATO[ALERTA ÚLTIMO CONTATO]-1,$N$1-$H160)</f>
        <v>14</v>
      </c>
      <c r="J160" s="58">
        <v>0</v>
      </c>
      <c r="K160" s="32">
        <v>0</v>
      </c>
      <c r="L160" s="44" t="str">
        <f>SELECAO[SELEÇÃO]</f>
        <v>SELECIONAR</v>
      </c>
    </row>
    <row r="161" spans="2:12" x14ac:dyDescent="0.25">
      <c r="B161" s="58">
        <v>110</v>
      </c>
      <c r="C161" s="1" t="s">
        <v>256</v>
      </c>
      <c r="D161" s="68" t="s">
        <v>257</v>
      </c>
      <c r="E161" s="68" t="str">
        <f>TEXT($D161,"MMMM")</f>
        <v>novembro</v>
      </c>
      <c r="F161" s="69" t="s">
        <v>21</v>
      </c>
      <c r="G161" s="58" t="s">
        <v>21</v>
      </c>
      <c r="H161" s="9"/>
      <c r="I161" s="23">
        <f>IF($H161 = "",ULTIMO_CONTATO[ALERTA ÚLTIMO CONTATO]-1,$N$1-$H161)</f>
        <v>14</v>
      </c>
      <c r="J161" s="58">
        <v>0</v>
      </c>
      <c r="K161" s="32">
        <v>0</v>
      </c>
      <c r="L161" s="44" t="str">
        <f>SELECAO[SELEÇÃO]</f>
        <v>SELECIONAR</v>
      </c>
    </row>
    <row r="162" spans="2:12" x14ac:dyDescent="0.25">
      <c r="B162" s="58">
        <v>185</v>
      </c>
      <c r="C162" s="1" t="s">
        <v>258</v>
      </c>
      <c r="D162" s="68"/>
      <c r="E162" s="68" t="str">
        <f>TEXT($D162,"MMMM")</f>
        <v>janeiro</v>
      </c>
      <c r="F162" s="69" t="s">
        <v>21</v>
      </c>
      <c r="G162" s="58" t="s">
        <v>21</v>
      </c>
      <c r="H162" s="9"/>
      <c r="I162" s="23">
        <f>IF($H162 = "",ULTIMO_CONTATO[ALERTA ÚLTIMO CONTATO]-1,$N$1-$H162)</f>
        <v>14</v>
      </c>
      <c r="J162" s="58">
        <v>0</v>
      </c>
      <c r="K162" s="32">
        <v>0</v>
      </c>
      <c r="L162" s="44" t="str">
        <f>SELECAO[SELEÇÃO]</f>
        <v>SELECIONAR</v>
      </c>
    </row>
    <row r="163" spans="2:12" x14ac:dyDescent="0.25">
      <c r="B163" s="58">
        <v>186</v>
      </c>
      <c r="C163" s="1" t="s">
        <v>259</v>
      </c>
      <c r="D163" s="68"/>
      <c r="E163" s="68" t="str">
        <f>TEXT($D163,"MMMM")</f>
        <v>janeiro</v>
      </c>
      <c r="F163" s="69" t="s">
        <v>21</v>
      </c>
      <c r="G163" s="58" t="s">
        <v>21</v>
      </c>
      <c r="H163" s="9"/>
      <c r="I163" s="23">
        <f>IF($H163 = "",ULTIMO_CONTATO[ALERTA ÚLTIMO CONTATO]-1,$N$1-$H163)</f>
        <v>14</v>
      </c>
      <c r="J163" s="58">
        <v>0</v>
      </c>
      <c r="K163" s="32">
        <v>0</v>
      </c>
      <c r="L163" s="44" t="str">
        <f>SELECAO[SELEÇÃO]</f>
        <v>SELECIONAR</v>
      </c>
    </row>
    <row r="164" spans="2:12" x14ac:dyDescent="0.25">
      <c r="B164" s="58">
        <v>111</v>
      </c>
      <c r="C164" s="1" t="s">
        <v>260</v>
      </c>
      <c r="D164" s="68">
        <v>33187</v>
      </c>
      <c r="E164" s="68" t="str">
        <f>TEXT($D164,"MMMM")</f>
        <v>novembro</v>
      </c>
      <c r="F164" s="69" t="s">
        <v>21</v>
      </c>
      <c r="G164" s="58" t="s">
        <v>21</v>
      </c>
      <c r="H164" s="9"/>
      <c r="I164" s="23">
        <f>IF($H164 = "",ULTIMO_CONTATO[ALERTA ÚLTIMO CONTATO]-1,$N$1-$H164)</f>
        <v>14</v>
      </c>
      <c r="J164" s="58">
        <v>0</v>
      </c>
      <c r="K164" s="32">
        <v>0</v>
      </c>
      <c r="L164" s="44" t="str">
        <f>SELECAO[SELEÇÃO]</f>
        <v>SELECIONAR</v>
      </c>
    </row>
    <row r="165" spans="2:12" x14ac:dyDescent="0.25">
      <c r="B165" s="58">
        <v>112</v>
      </c>
      <c r="C165" s="1" t="s">
        <v>261</v>
      </c>
      <c r="D165" s="68">
        <v>31605</v>
      </c>
      <c r="E165" s="68" t="str">
        <f>TEXT($D165,"MMMM")</f>
        <v>julho</v>
      </c>
      <c r="F165" s="69" t="s">
        <v>21</v>
      </c>
      <c r="G165" s="58" t="s">
        <v>21</v>
      </c>
      <c r="H165" s="9"/>
      <c r="I165" s="23">
        <f>IF($H165 = "",ULTIMO_CONTATO[ALERTA ÚLTIMO CONTATO]-1,$N$1-$H165)</f>
        <v>14</v>
      </c>
      <c r="J165" s="58">
        <v>0</v>
      </c>
      <c r="K165" s="32">
        <v>0</v>
      </c>
      <c r="L165" s="44" t="str">
        <f>SELECAO[SELEÇÃO]</f>
        <v>SELECIONAR</v>
      </c>
    </row>
    <row r="166" spans="2:12" x14ac:dyDescent="0.25">
      <c r="B166" s="58">
        <v>187</v>
      </c>
      <c r="C166" s="1" t="s">
        <v>262</v>
      </c>
      <c r="D166" s="68"/>
      <c r="E166" s="68" t="str">
        <f>TEXT($D166,"MMMM")</f>
        <v>janeiro</v>
      </c>
      <c r="F166" s="69" t="s">
        <v>21</v>
      </c>
      <c r="G166" s="58" t="s">
        <v>21</v>
      </c>
      <c r="H166" s="9"/>
      <c r="I166" s="23">
        <f>IF($H166 = "",ULTIMO_CONTATO[ALERTA ÚLTIMO CONTATO]-1,$N$1-$H166)</f>
        <v>14</v>
      </c>
      <c r="J166" s="58">
        <v>0</v>
      </c>
      <c r="K166" s="32">
        <v>0</v>
      </c>
      <c r="L166" s="44" t="str">
        <f>SELECAO[SELEÇÃO]</f>
        <v>SELECIONAR</v>
      </c>
    </row>
    <row r="167" spans="2:12" x14ac:dyDescent="0.25">
      <c r="B167" s="58">
        <v>209</v>
      </c>
      <c r="C167" s="1" t="s">
        <v>263</v>
      </c>
      <c r="D167" s="68">
        <v>36284</v>
      </c>
      <c r="E167" s="68" t="str">
        <f>TEXT($D167,"MMMM")</f>
        <v>maio</v>
      </c>
      <c r="F167" s="69" t="s">
        <v>21</v>
      </c>
      <c r="G167" s="58" t="s">
        <v>21</v>
      </c>
      <c r="H167" s="9"/>
      <c r="I167" s="23">
        <f>IF($H167 = "",ULTIMO_CONTATO[ALERTA ÚLTIMO CONTATO]-1,$N$1-$H167)</f>
        <v>14</v>
      </c>
      <c r="J167" s="58">
        <v>0</v>
      </c>
      <c r="K167" s="32">
        <v>0</v>
      </c>
      <c r="L167" s="44" t="str">
        <f>SELECAO[SELEÇÃO]</f>
        <v>SELECIONAR</v>
      </c>
    </row>
    <row r="168" spans="2:12" x14ac:dyDescent="0.25">
      <c r="B168" s="58">
        <v>113</v>
      </c>
      <c r="C168" s="1" t="s">
        <v>264</v>
      </c>
      <c r="D168" s="68">
        <v>36284</v>
      </c>
      <c r="E168" s="68" t="str">
        <f>TEXT($D168,"MMMM")</f>
        <v>maio</v>
      </c>
      <c r="F168" s="69" t="s">
        <v>21</v>
      </c>
      <c r="G168" s="58" t="s">
        <v>21</v>
      </c>
      <c r="H168" s="9"/>
      <c r="I168" s="23">
        <f>IF($H168 = "",ULTIMO_CONTATO[ALERTA ÚLTIMO CONTATO]-1,$N$1-$H168)</f>
        <v>14</v>
      </c>
      <c r="J168" s="58">
        <v>0</v>
      </c>
      <c r="K168" s="32">
        <v>0</v>
      </c>
      <c r="L168" s="44" t="str">
        <f>SELECAO[SELEÇÃO]</f>
        <v>SELECIONAR</v>
      </c>
    </row>
    <row r="169" spans="2:12" x14ac:dyDescent="0.25">
      <c r="B169" s="58">
        <v>114</v>
      </c>
      <c r="C169" s="1" t="s">
        <v>265</v>
      </c>
      <c r="D169" s="68">
        <v>31970</v>
      </c>
      <c r="E169" s="68" t="str">
        <f>TEXT($D169,"MMMM")</f>
        <v>julho</v>
      </c>
      <c r="F169" s="69" t="s">
        <v>21</v>
      </c>
      <c r="G169" s="58" t="s">
        <v>21</v>
      </c>
      <c r="H169" s="9"/>
      <c r="I169" s="23">
        <f>IF($H169 = "",ULTIMO_CONTATO[ALERTA ÚLTIMO CONTATO]-1,$N$1-$H169)</f>
        <v>14</v>
      </c>
      <c r="J169" s="58">
        <v>0</v>
      </c>
      <c r="K169" s="32">
        <v>0</v>
      </c>
      <c r="L169" s="44" t="str">
        <f>SELECAO[SELEÇÃO]</f>
        <v>SELECIONAR</v>
      </c>
    </row>
    <row r="170" spans="2:12" x14ac:dyDescent="0.25">
      <c r="B170" s="58">
        <v>115</v>
      </c>
      <c r="C170" s="1" t="s">
        <v>266</v>
      </c>
      <c r="D170" s="68">
        <v>36049</v>
      </c>
      <c r="E170" s="68" t="str">
        <f>TEXT($D170,"MMMM")</f>
        <v>setembro</v>
      </c>
      <c r="F170" s="69" t="s">
        <v>21</v>
      </c>
      <c r="G170" s="58" t="s">
        <v>21</v>
      </c>
      <c r="H170" s="9"/>
      <c r="I170" s="23">
        <f>IF($H170 = "",ULTIMO_CONTATO[ALERTA ÚLTIMO CONTATO]-1,$N$1-$H170)</f>
        <v>14</v>
      </c>
      <c r="J170" s="58">
        <v>0</v>
      </c>
      <c r="K170" s="32">
        <v>0</v>
      </c>
      <c r="L170" s="44" t="str">
        <f>SELECAO[SELEÇÃO]</f>
        <v>SELECIONAR</v>
      </c>
    </row>
    <row r="171" spans="2:12" x14ac:dyDescent="0.25">
      <c r="B171" s="58">
        <v>116</v>
      </c>
      <c r="C171" s="1" t="s">
        <v>267</v>
      </c>
      <c r="D171" s="68" t="s">
        <v>268</v>
      </c>
      <c r="E171" s="68" t="str">
        <f>TEXT($D171,"MMMM")</f>
        <v>agosto</v>
      </c>
      <c r="F171" s="69" t="s">
        <v>21</v>
      </c>
      <c r="G171" s="58" t="s">
        <v>21</v>
      </c>
      <c r="H171" s="9"/>
      <c r="I171" s="23">
        <f>IF($H171 = "",ULTIMO_CONTATO[ALERTA ÚLTIMO CONTATO]-1,$N$1-$H171)</f>
        <v>14</v>
      </c>
      <c r="J171" s="58">
        <v>0</v>
      </c>
      <c r="K171" s="32">
        <v>0</v>
      </c>
      <c r="L171" s="44" t="str">
        <f>SELECAO[SELEÇÃO]</f>
        <v>SELECIONAR</v>
      </c>
    </row>
    <row r="172" spans="2:12" x14ac:dyDescent="0.25">
      <c r="B172" s="58">
        <v>117</v>
      </c>
      <c r="C172" s="1" t="s">
        <v>269</v>
      </c>
      <c r="D172" s="68">
        <v>37840</v>
      </c>
      <c r="E172" s="68" t="str">
        <f>TEXT($D172,"MMMM")</f>
        <v>agosto</v>
      </c>
      <c r="F172" s="69" t="s">
        <v>21</v>
      </c>
      <c r="G172" s="58" t="s">
        <v>21</v>
      </c>
      <c r="H172" s="9"/>
      <c r="I172" s="23">
        <f>IF($H172 = "",ULTIMO_CONTATO[ALERTA ÚLTIMO CONTATO]-1,$N$1-$H172)</f>
        <v>14</v>
      </c>
      <c r="J172" s="58">
        <v>0</v>
      </c>
      <c r="K172" s="32">
        <v>0</v>
      </c>
      <c r="L172" s="44" t="str">
        <f>SELECAO[SELEÇÃO]</f>
        <v>SELECIONAR</v>
      </c>
    </row>
    <row r="173" spans="2:12" x14ac:dyDescent="0.25">
      <c r="B173" s="58">
        <v>188</v>
      </c>
      <c r="C173" s="1" t="s">
        <v>270</v>
      </c>
      <c r="D173" s="68" t="s">
        <v>271</v>
      </c>
      <c r="E173" s="68" t="str">
        <f>TEXT($D173,"MMMM")</f>
        <v>janeiro</v>
      </c>
      <c r="F173" s="69" t="s">
        <v>21</v>
      </c>
      <c r="G173" s="58" t="s">
        <v>21</v>
      </c>
      <c r="H173" s="9"/>
      <c r="I173" s="23">
        <f>IF($H173 = "",ULTIMO_CONTATO[ALERTA ÚLTIMO CONTATO]-1,$N$1-$H173)</f>
        <v>14</v>
      </c>
      <c r="J173" s="58">
        <v>0</v>
      </c>
      <c r="K173" s="32">
        <v>0</v>
      </c>
      <c r="L173" s="44" t="str">
        <f>SELECAO[SELEÇÃO]</f>
        <v>SELECIONAR</v>
      </c>
    </row>
    <row r="174" spans="2:12" x14ac:dyDescent="0.25">
      <c r="B174" s="58">
        <v>118</v>
      </c>
      <c r="C174" s="1" t="s">
        <v>272</v>
      </c>
      <c r="D174" s="68" t="s">
        <v>271</v>
      </c>
      <c r="E174" s="68" t="str">
        <f>TEXT($D174,"MMMM")</f>
        <v>janeiro</v>
      </c>
      <c r="F174" s="69" t="s">
        <v>21</v>
      </c>
      <c r="G174" s="58" t="s">
        <v>21</v>
      </c>
      <c r="H174" s="9"/>
      <c r="I174" s="23">
        <f>IF($H174 = "",ULTIMO_CONTATO[ALERTA ÚLTIMO CONTATO]-1,$N$1-$H174)</f>
        <v>14</v>
      </c>
      <c r="J174" s="58">
        <v>0</v>
      </c>
      <c r="K174" s="32">
        <v>0</v>
      </c>
      <c r="L174" s="44" t="str">
        <f>SELECAO[SELEÇÃO]</f>
        <v>SELECIONAR</v>
      </c>
    </row>
    <row r="175" spans="2:12" x14ac:dyDescent="0.25">
      <c r="B175" s="58">
        <v>119</v>
      </c>
      <c r="C175" s="1" t="s">
        <v>273</v>
      </c>
      <c r="D175" s="68"/>
      <c r="E175" s="68" t="str">
        <f>TEXT($D175,"MMMM")</f>
        <v>janeiro</v>
      </c>
      <c r="F175" s="69" t="s">
        <v>21</v>
      </c>
      <c r="G175" s="58" t="s">
        <v>21</v>
      </c>
      <c r="H175" s="9"/>
      <c r="I175" s="23">
        <f>IF($H175 = "",ULTIMO_CONTATO[ALERTA ÚLTIMO CONTATO]-1,$N$1-$H175)</f>
        <v>14</v>
      </c>
      <c r="J175" s="58">
        <v>0</v>
      </c>
      <c r="K175" s="32">
        <v>0</v>
      </c>
      <c r="L175" s="44" t="str">
        <f>SELECAO[SELEÇÃO]</f>
        <v>SELECIONAR</v>
      </c>
    </row>
    <row r="176" spans="2:12" x14ac:dyDescent="0.25">
      <c r="B176" s="58">
        <v>120</v>
      </c>
      <c r="C176" s="1" t="s">
        <v>274</v>
      </c>
      <c r="D176" s="68" t="s">
        <v>275</v>
      </c>
      <c r="E176" s="68" t="str">
        <f>TEXT($D176,"MMMM")</f>
        <v>abril</v>
      </c>
      <c r="F176" s="69" t="s">
        <v>21</v>
      </c>
      <c r="G176" s="58" t="s">
        <v>21</v>
      </c>
      <c r="H176" s="9"/>
      <c r="I176" s="23">
        <f>IF($H176 = "",ULTIMO_CONTATO[ALERTA ÚLTIMO CONTATO]-1,$N$1-$H176)</f>
        <v>14</v>
      </c>
      <c r="J176" s="58">
        <v>0</v>
      </c>
      <c r="K176" s="32">
        <v>0</v>
      </c>
      <c r="L176" s="44" t="str">
        <f>SELECAO[SELEÇÃO]</f>
        <v>SELECIONAR</v>
      </c>
    </row>
    <row r="177" spans="2:12" x14ac:dyDescent="0.25">
      <c r="B177" s="58">
        <v>190</v>
      </c>
      <c r="C177" s="1" t="s">
        <v>276</v>
      </c>
      <c r="D177" s="68" t="s">
        <v>275</v>
      </c>
      <c r="E177" s="68" t="str">
        <f>TEXT($D177,"MMMM")</f>
        <v>abril</v>
      </c>
      <c r="F177" s="69" t="s">
        <v>21</v>
      </c>
      <c r="G177" s="58" t="s">
        <v>21</v>
      </c>
      <c r="H177" s="9"/>
      <c r="I177" s="23">
        <f>IF($H177 = "",ULTIMO_CONTATO[ALERTA ÚLTIMO CONTATO]-1,$N$1-$H177)</f>
        <v>14</v>
      </c>
      <c r="J177" s="58">
        <v>0</v>
      </c>
      <c r="K177" s="32">
        <v>0</v>
      </c>
      <c r="L177" s="44" t="str">
        <f>SELECAO[SELEÇÃO]</f>
        <v>SELECIONAR</v>
      </c>
    </row>
    <row r="178" spans="2:12" x14ac:dyDescent="0.25">
      <c r="B178" s="58">
        <v>121</v>
      </c>
      <c r="C178" s="1" t="s">
        <v>277</v>
      </c>
      <c r="D178" s="68" t="s">
        <v>278</v>
      </c>
      <c r="E178" s="68" t="str">
        <f>TEXT($D178,"MMMM")</f>
        <v>outubro</v>
      </c>
      <c r="F178" s="69" t="s">
        <v>21</v>
      </c>
      <c r="G178" s="58" t="s">
        <v>21</v>
      </c>
      <c r="H178" s="9"/>
      <c r="I178" s="23">
        <f>IF($H178 = "",ULTIMO_CONTATO[ALERTA ÚLTIMO CONTATO]-1,$N$1-$H178)</f>
        <v>14</v>
      </c>
      <c r="J178" s="58">
        <v>0</v>
      </c>
      <c r="K178" s="32">
        <v>0</v>
      </c>
      <c r="L178" s="44" t="str">
        <f>SELECAO[SELEÇÃO]</f>
        <v>SELECIONAR</v>
      </c>
    </row>
    <row r="179" spans="2:12" x14ac:dyDescent="0.25">
      <c r="B179" s="58">
        <v>122</v>
      </c>
      <c r="C179" s="1" t="s">
        <v>279</v>
      </c>
      <c r="D179" s="68" t="s">
        <v>280</v>
      </c>
      <c r="E179" s="68" t="str">
        <f>TEXT($D179,"MMMM")</f>
        <v>maio</v>
      </c>
      <c r="F179" s="69" t="s">
        <v>21</v>
      </c>
      <c r="G179" s="58" t="s">
        <v>21</v>
      </c>
      <c r="H179" s="9"/>
      <c r="I179" s="23">
        <f>IF($H179 = "",ULTIMO_CONTATO[ALERTA ÚLTIMO CONTATO]-1,$N$1-$H179)</f>
        <v>14</v>
      </c>
      <c r="J179" s="58">
        <v>0</v>
      </c>
      <c r="K179" s="32">
        <v>0</v>
      </c>
      <c r="L179" s="44" t="str">
        <f>SELECAO[SELEÇÃO]</f>
        <v>SELECIONAR</v>
      </c>
    </row>
    <row r="180" spans="2:12" x14ac:dyDescent="0.25">
      <c r="B180" s="58">
        <v>123</v>
      </c>
      <c r="C180" s="1" t="s">
        <v>281</v>
      </c>
      <c r="D180" s="68">
        <v>36345</v>
      </c>
      <c r="E180" s="68" t="str">
        <f>TEXT($D180,"MMMM")</f>
        <v>julho</v>
      </c>
      <c r="F180" s="69" t="s">
        <v>21</v>
      </c>
      <c r="G180" s="58" t="s">
        <v>21</v>
      </c>
      <c r="H180" s="9"/>
      <c r="I180" s="23">
        <f>IF($H180 = "",ULTIMO_CONTATO[ALERTA ÚLTIMO CONTATO]-1,$N$1-$H180)</f>
        <v>14</v>
      </c>
      <c r="J180" s="58">
        <v>0</v>
      </c>
      <c r="K180" s="32">
        <v>0</v>
      </c>
      <c r="L180" s="44" t="str">
        <f>SELECAO[SELEÇÃO]</f>
        <v>SELECIONAR</v>
      </c>
    </row>
    <row r="181" spans="2:12" x14ac:dyDescent="0.25">
      <c r="B181" s="58">
        <v>124</v>
      </c>
      <c r="C181" s="1" t="s">
        <v>282</v>
      </c>
      <c r="D181" s="68" t="s">
        <v>283</v>
      </c>
      <c r="E181" s="68" t="str">
        <f>TEXT($D181,"MMMM")</f>
        <v>novembro</v>
      </c>
      <c r="F181" s="69" t="s">
        <v>21</v>
      </c>
      <c r="G181" s="58" t="s">
        <v>21</v>
      </c>
      <c r="H181" s="9"/>
      <c r="I181" s="23">
        <f>IF($H181 = "",ULTIMO_CONTATO[ALERTA ÚLTIMO CONTATO]-1,$N$1-$H181)</f>
        <v>14</v>
      </c>
      <c r="J181" s="58">
        <v>0</v>
      </c>
      <c r="K181" s="32">
        <v>0</v>
      </c>
      <c r="L181" s="44" t="str">
        <f>SELECAO[SELEÇÃO]</f>
        <v>SELECIONAR</v>
      </c>
    </row>
    <row r="182" spans="2:12" x14ac:dyDescent="0.25">
      <c r="B182" s="58">
        <v>197</v>
      </c>
      <c r="C182" s="1" t="s">
        <v>284</v>
      </c>
      <c r="D182" s="68" t="s">
        <v>285</v>
      </c>
      <c r="E182" s="68" t="str">
        <f>TEXT($D182,"MMMM")</f>
        <v>março</v>
      </c>
      <c r="F182" s="69" t="s">
        <v>21</v>
      </c>
      <c r="G182" s="58" t="s">
        <v>21</v>
      </c>
      <c r="H182" s="9"/>
      <c r="I182" s="23">
        <f>IF($H182 = "",ULTIMO_CONTATO[ALERTA ÚLTIMO CONTATO]-1,$N$1-$H182)</f>
        <v>14</v>
      </c>
      <c r="J182" s="58">
        <v>0</v>
      </c>
      <c r="K182" s="32">
        <v>0</v>
      </c>
      <c r="L182" s="44" t="str">
        <f>SELECAO[SELEÇÃO]</f>
        <v>SELECIONAR</v>
      </c>
    </row>
    <row r="183" spans="2:12" x14ac:dyDescent="0.25">
      <c r="B183" s="58">
        <v>125</v>
      </c>
      <c r="C183" s="1" t="s">
        <v>286</v>
      </c>
      <c r="D183" s="68">
        <v>36017</v>
      </c>
      <c r="E183" s="68" t="str">
        <f>TEXT($D183,"MMMM")</f>
        <v>agosto</v>
      </c>
      <c r="F183" s="69" t="s">
        <v>21</v>
      </c>
      <c r="G183" s="58" t="s">
        <v>21</v>
      </c>
      <c r="H183" s="9"/>
      <c r="I183" s="23">
        <f>IF($H183 = "",ULTIMO_CONTATO[ALERTA ÚLTIMO CONTATO]-1,$N$1-$H183)</f>
        <v>14</v>
      </c>
      <c r="J183" s="58">
        <v>0</v>
      </c>
      <c r="K183" s="32">
        <v>0</v>
      </c>
      <c r="L183" s="44" t="str">
        <f>SELECAO[SELEÇÃO]</f>
        <v>SELECIONAR</v>
      </c>
    </row>
    <row r="184" spans="2:12" x14ac:dyDescent="0.25">
      <c r="B184" s="58">
        <v>126</v>
      </c>
      <c r="C184" s="1" t="s">
        <v>287</v>
      </c>
      <c r="D184" s="68" t="s">
        <v>288</v>
      </c>
      <c r="E184" s="68" t="str">
        <f>TEXT($D184,"MMMM")</f>
        <v>janeiro</v>
      </c>
      <c r="F184" s="69" t="s">
        <v>21</v>
      </c>
      <c r="G184" s="58" t="s">
        <v>21</v>
      </c>
      <c r="H184" s="9"/>
      <c r="I184" s="23">
        <f>IF($H184 = "",ULTIMO_CONTATO[ALERTA ÚLTIMO CONTATO]-1,$N$1-$H184)</f>
        <v>14</v>
      </c>
      <c r="J184" s="58">
        <v>0</v>
      </c>
      <c r="K184" s="32">
        <v>0</v>
      </c>
      <c r="L184" s="44" t="str">
        <f>SELECAO[SELEÇÃO]</f>
        <v>SELECIONAR</v>
      </c>
    </row>
    <row r="185" spans="2:12" x14ac:dyDescent="0.25">
      <c r="B185" s="58">
        <v>127</v>
      </c>
      <c r="C185" s="1" t="s">
        <v>289</v>
      </c>
      <c r="D185" s="68" t="s">
        <v>290</v>
      </c>
      <c r="E185" s="68" t="str">
        <f>TEXT($D185,"MMMM")</f>
        <v>dezembro</v>
      </c>
      <c r="F185" s="69" t="s">
        <v>21</v>
      </c>
      <c r="G185" s="58" t="s">
        <v>21</v>
      </c>
      <c r="H185" s="9"/>
      <c r="I185" s="23">
        <f>IF($H185 = "",ULTIMO_CONTATO[ALERTA ÚLTIMO CONTATO]-1,$N$1-$H185)</f>
        <v>14</v>
      </c>
      <c r="J185" s="58">
        <v>0</v>
      </c>
      <c r="K185" s="32">
        <v>0</v>
      </c>
      <c r="L185" s="44" t="str">
        <f>SELECAO[SELEÇÃO]</f>
        <v>SELECIONAR</v>
      </c>
    </row>
    <row r="186" spans="2:12" x14ac:dyDescent="0.25">
      <c r="B186" s="58">
        <v>210</v>
      </c>
      <c r="C186" s="1" t="s">
        <v>291</v>
      </c>
      <c r="D186" s="68" t="s">
        <v>292</v>
      </c>
      <c r="E186" s="68" t="str">
        <f>TEXT($D186,"MMMM")</f>
        <v>maio</v>
      </c>
      <c r="F186" s="69" t="s">
        <v>21</v>
      </c>
      <c r="G186" s="58" t="s">
        <v>21</v>
      </c>
      <c r="H186" s="9"/>
      <c r="I186" s="23">
        <f>IF($H186 = "",ULTIMO_CONTATO[ALERTA ÚLTIMO CONTATO]-1,$N$1-$H186)</f>
        <v>14</v>
      </c>
      <c r="J186" s="58">
        <v>0</v>
      </c>
      <c r="K186" s="32">
        <v>0</v>
      </c>
      <c r="L186" s="44" t="str">
        <f>SELECAO[SELEÇÃO]</f>
        <v>SELECIONAR</v>
      </c>
    </row>
    <row r="187" spans="2:12" x14ac:dyDescent="0.25">
      <c r="B187" s="58">
        <v>128</v>
      </c>
      <c r="C187" s="1" t="s">
        <v>293</v>
      </c>
      <c r="D187" s="68">
        <v>34279</v>
      </c>
      <c r="E187" s="68" t="str">
        <f>TEXT($D187,"MMMM")</f>
        <v>novembro</v>
      </c>
      <c r="F187" s="69" t="s">
        <v>21</v>
      </c>
      <c r="G187" s="58" t="s">
        <v>21</v>
      </c>
      <c r="H187" s="9"/>
      <c r="I187" s="23">
        <f>IF($H187 = "",ULTIMO_CONTATO[ALERTA ÚLTIMO CONTATO]-1,$N$1-$H187)</f>
        <v>14</v>
      </c>
      <c r="J187" s="58">
        <v>0</v>
      </c>
      <c r="K187" s="32">
        <v>0</v>
      </c>
      <c r="L187" s="44" t="str">
        <f>SELECAO[SELEÇÃO]</f>
        <v>SELECIONAR</v>
      </c>
    </row>
    <row r="188" spans="2:12" x14ac:dyDescent="0.25">
      <c r="B188" s="58">
        <v>129</v>
      </c>
      <c r="C188" s="1" t="s">
        <v>294</v>
      </c>
      <c r="D188" s="68" t="s">
        <v>295</v>
      </c>
      <c r="E188" s="68" t="str">
        <f>TEXT($D188,"MMMM")</f>
        <v>setembro</v>
      </c>
      <c r="F188" s="69" t="s">
        <v>21</v>
      </c>
      <c r="G188" s="58" t="s">
        <v>21</v>
      </c>
      <c r="H188" s="9"/>
      <c r="I188" s="23">
        <f>IF($H188 = "",ULTIMO_CONTATO[ALERTA ÚLTIMO CONTATO]-1,$N$1-$H188)</f>
        <v>14</v>
      </c>
      <c r="J188" s="58">
        <v>0</v>
      </c>
      <c r="K188" s="32">
        <v>0</v>
      </c>
      <c r="L188" s="44" t="str">
        <f>SELECAO[SELEÇÃO]</f>
        <v>SELECIONAR</v>
      </c>
    </row>
    <row r="189" spans="2:12" x14ac:dyDescent="0.25">
      <c r="B189" s="58">
        <v>130</v>
      </c>
      <c r="C189" s="1" t="s">
        <v>296</v>
      </c>
      <c r="D189" s="68" t="s">
        <v>297</v>
      </c>
      <c r="E189" s="68" t="str">
        <f>TEXT($D189,"MMMM")</f>
        <v>abril</v>
      </c>
      <c r="F189" s="69" t="s">
        <v>21</v>
      </c>
      <c r="G189" s="58" t="s">
        <v>21</v>
      </c>
      <c r="H189" s="9"/>
      <c r="I189" s="23">
        <f>IF($H189 = "",ULTIMO_CONTATO[ALERTA ÚLTIMO CONTATO]-1,$N$1-$H189)</f>
        <v>14</v>
      </c>
      <c r="J189" s="58">
        <v>0</v>
      </c>
      <c r="K189" s="32">
        <v>0</v>
      </c>
      <c r="L189" s="44" t="str">
        <f>SELECAO[SELEÇÃO]</f>
        <v>SELECIONAR</v>
      </c>
    </row>
    <row r="190" spans="2:12" x14ac:dyDescent="0.25">
      <c r="B190" s="58">
        <v>191</v>
      </c>
      <c r="C190" s="1" t="s">
        <v>298</v>
      </c>
      <c r="D190" s="68"/>
      <c r="E190" s="68" t="str">
        <f>TEXT($D190,"MMMM")</f>
        <v>janeiro</v>
      </c>
      <c r="F190" s="69" t="s">
        <v>21</v>
      </c>
      <c r="G190" s="58" t="s">
        <v>21</v>
      </c>
      <c r="H190" s="9"/>
      <c r="I190" s="23">
        <f>IF($H190 = "",ULTIMO_CONTATO[ALERTA ÚLTIMO CONTATO]-1,$N$1-$H190)</f>
        <v>14</v>
      </c>
      <c r="J190" s="58">
        <v>0</v>
      </c>
      <c r="K190" s="32">
        <v>0</v>
      </c>
      <c r="L190" s="44" t="str">
        <f>SELECAO[SELEÇÃO]</f>
        <v>SELECIONAR</v>
      </c>
    </row>
    <row r="191" spans="2:12" x14ac:dyDescent="0.25">
      <c r="B191" s="58">
        <v>131</v>
      </c>
      <c r="C191" s="1" t="s">
        <v>299</v>
      </c>
      <c r="D191" s="68" t="s">
        <v>300</v>
      </c>
      <c r="E191" s="68" t="str">
        <f>TEXT($D191,"MMMM")</f>
        <v>julho</v>
      </c>
      <c r="F191" s="69" t="s">
        <v>21</v>
      </c>
      <c r="G191" s="58" t="s">
        <v>21</v>
      </c>
      <c r="H191" s="9"/>
      <c r="I191" s="23">
        <f>IF($H191 = "",ULTIMO_CONTATO[ALERTA ÚLTIMO CONTATO]-1,$N$1-$H191)</f>
        <v>14</v>
      </c>
      <c r="J191" s="58">
        <v>0</v>
      </c>
      <c r="K191" s="32">
        <v>0</v>
      </c>
      <c r="L191" s="44" t="str">
        <f>SELECAO[SELEÇÃO]</f>
        <v>SELECIONAR</v>
      </c>
    </row>
    <row r="192" spans="2:12" x14ac:dyDescent="0.25">
      <c r="B192" s="58">
        <v>195</v>
      </c>
      <c r="C192" s="1" t="s">
        <v>301</v>
      </c>
      <c r="D192" s="68" t="s">
        <v>302</v>
      </c>
      <c r="E192" s="68" t="str">
        <f>TEXT($D192,"MMMM")</f>
        <v>setembro</v>
      </c>
      <c r="F192" s="69" t="s">
        <v>21</v>
      </c>
      <c r="G192" s="58" t="s">
        <v>21</v>
      </c>
      <c r="H192" s="9"/>
      <c r="I192" s="23">
        <f>IF($H192 = "",ULTIMO_CONTATO[ALERTA ÚLTIMO CONTATO]-1,$N$1-$H192)</f>
        <v>14</v>
      </c>
      <c r="J192" s="58">
        <v>0</v>
      </c>
      <c r="K192" s="32">
        <v>0</v>
      </c>
      <c r="L192" s="44" t="str">
        <f>SELECAO[SELEÇÃO]</f>
        <v>SELECIONAR</v>
      </c>
    </row>
    <row r="193" spans="2:12" x14ac:dyDescent="0.25">
      <c r="B193" s="58">
        <v>192</v>
      </c>
      <c r="C193" s="1" t="s">
        <v>303</v>
      </c>
      <c r="D193" s="68"/>
      <c r="E193" s="68" t="str">
        <f>TEXT($D193,"MMMM")</f>
        <v>janeiro</v>
      </c>
      <c r="F193" s="69" t="s">
        <v>21</v>
      </c>
      <c r="G193" s="58" t="s">
        <v>21</v>
      </c>
      <c r="H193" s="9"/>
      <c r="I193" s="23">
        <f>IF($H193 = "",ULTIMO_CONTATO[ALERTA ÚLTIMO CONTATO]-1,$N$1-$H193)</f>
        <v>14</v>
      </c>
      <c r="J193" s="58">
        <v>0</v>
      </c>
      <c r="K193" s="32">
        <v>0</v>
      </c>
      <c r="L193" s="44" t="str">
        <f>SELECAO[SELEÇÃO]</f>
        <v>SELECIONAR</v>
      </c>
    </row>
    <row r="194" spans="2:12" x14ac:dyDescent="0.25">
      <c r="B194" s="58">
        <v>193</v>
      </c>
      <c r="C194" s="1" t="s">
        <v>304</v>
      </c>
      <c r="D194" s="68" t="s">
        <v>305</v>
      </c>
      <c r="E194" s="68" t="str">
        <f>TEXT($D194,"MMMM")</f>
        <v>julho</v>
      </c>
      <c r="F194" s="69" t="s">
        <v>21</v>
      </c>
      <c r="G194" s="58" t="s">
        <v>21</v>
      </c>
      <c r="H194" s="9"/>
      <c r="I194" s="23">
        <f>IF($H194 = "",ULTIMO_CONTATO[ALERTA ÚLTIMO CONTATO]-1,$N$1-$H194)</f>
        <v>14</v>
      </c>
      <c r="J194" s="58">
        <v>0</v>
      </c>
      <c r="K194" s="32">
        <v>0</v>
      </c>
      <c r="L194" s="44" t="str">
        <f>SELECAO[SELEÇÃO]</f>
        <v>SELECIONAR</v>
      </c>
    </row>
    <row r="195" spans="2:12" x14ac:dyDescent="0.25">
      <c r="B195" s="58">
        <v>132</v>
      </c>
      <c r="C195" s="1" t="s">
        <v>306</v>
      </c>
      <c r="D195" s="68" t="s">
        <v>305</v>
      </c>
      <c r="E195" s="68" t="str">
        <f>TEXT($D195,"MMMM")</f>
        <v>julho</v>
      </c>
      <c r="F195" s="69" t="s">
        <v>21</v>
      </c>
      <c r="G195" s="58" t="s">
        <v>21</v>
      </c>
      <c r="H195" s="9"/>
      <c r="I195" s="23">
        <f>IF($H195 = "",ULTIMO_CONTATO[ALERTA ÚLTIMO CONTATO]-1,$N$1-$H195)</f>
        <v>14</v>
      </c>
      <c r="J195" s="58">
        <v>0</v>
      </c>
      <c r="K195" s="32">
        <v>0</v>
      </c>
      <c r="L195" s="44" t="str">
        <f>SELECAO[SELEÇÃO]</f>
        <v>SELECIONAR</v>
      </c>
    </row>
    <row r="196" spans="2:12" x14ac:dyDescent="0.25">
      <c r="B196" s="58">
        <v>177</v>
      </c>
      <c r="C196" s="1" t="s">
        <v>307</v>
      </c>
      <c r="D196" s="68">
        <v>31934</v>
      </c>
      <c r="E196" s="68" t="str">
        <f>TEXT($D196,"MMMM")</f>
        <v>junho</v>
      </c>
      <c r="F196" s="69" t="s">
        <v>21</v>
      </c>
      <c r="G196" s="58" t="s">
        <v>21</v>
      </c>
      <c r="H196" s="9"/>
      <c r="I196" s="23">
        <f>IF($H196 = "",ULTIMO_CONTATO[ALERTA ÚLTIMO CONTATO]-1,$N$1-$H196)</f>
        <v>14</v>
      </c>
      <c r="J196" s="58">
        <v>0</v>
      </c>
      <c r="K196" s="32">
        <v>0</v>
      </c>
      <c r="L196" s="44" t="str">
        <f>SELECAO[SELEÇÃO]</f>
        <v>SELECIONAR</v>
      </c>
    </row>
    <row r="197" spans="2:12" x14ac:dyDescent="0.25">
      <c r="B197" s="58">
        <v>133</v>
      </c>
      <c r="C197" s="1" t="s">
        <v>308</v>
      </c>
      <c r="D197" s="68">
        <v>35285</v>
      </c>
      <c r="E197" s="68" t="str">
        <f>TEXT($D197,"MMMM")</f>
        <v>agosto</v>
      </c>
      <c r="F197" s="69" t="s">
        <v>21</v>
      </c>
      <c r="G197" s="58" t="s">
        <v>21</v>
      </c>
      <c r="H197" s="9"/>
      <c r="I197" s="23">
        <f>IF($H197 = "",ULTIMO_CONTATO[ALERTA ÚLTIMO CONTATO]-1,$N$1-$H197)</f>
        <v>14</v>
      </c>
      <c r="J197" s="58">
        <v>0</v>
      </c>
      <c r="K197" s="32">
        <v>0</v>
      </c>
      <c r="L197" s="44" t="str">
        <f>SELECAO[SELEÇÃO]</f>
        <v>SELECIONAR</v>
      </c>
    </row>
    <row r="198" spans="2:12" x14ac:dyDescent="0.25">
      <c r="B198" s="58">
        <v>134</v>
      </c>
      <c r="C198" s="1" t="s">
        <v>309</v>
      </c>
      <c r="D198" s="68" t="s">
        <v>250</v>
      </c>
      <c r="E198" s="68" t="str">
        <f>TEXT($D198,"MMMM")</f>
        <v>maio</v>
      </c>
      <c r="F198" s="69" t="s">
        <v>21</v>
      </c>
      <c r="G198" s="58" t="s">
        <v>21</v>
      </c>
      <c r="H198" s="9"/>
      <c r="I198" s="23">
        <f>IF($H198 = "",ULTIMO_CONTATO[ALERTA ÚLTIMO CONTATO]-1,$N$1-$H198)</f>
        <v>14</v>
      </c>
      <c r="J198" s="58">
        <v>0</v>
      </c>
      <c r="K198" s="32">
        <v>0</v>
      </c>
      <c r="L198" s="44" t="str">
        <f>SELECAO[SELEÇÃO]</f>
        <v>SELECIONAR</v>
      </c>
    </row>
    <row r="199" spans="2:12" x14ac:dyDescent="0.25">
      <c r="B199" s="58">
        <v>135</v>
      </c>
      <c r="C199" s="1" t="s">
        <v>310</v>
      </c>
      <c r="D199" s="68">
        <v>35582</v>
      </c>
      <c r="E199" s="68" t="str">
        <f>TEXT($D199,"MMMM")</f>
        <v>junho</v>
      </c>
      <c r="F199" s="69" t="s">
        <v>21</v>
      </c>
      <c r="G199" s="58" t="s">
        <v>21</v>
      </c>
      <c r="H199" s="9"/>
      <c r="I199" s="23">
        <f>IF($H199 = "",ULTIMO_CONTATO[ALERTA ÚLTIMO CONTATO]-1,$N$1-$H199)</f>
        <v>14</v>
      </c>
      <c r="J199" s="58">
        <v>0</v>
      </c>
      <c r="K199" s="32">
        <v>0</v>
      </c>
      <c r="L199" s="44" t="str">
        <f>SELECAO[SELEÇÃO]</f>
        <v>SELECIONAR</v>
      </c>
    </row>
    <row r="200" spans="2:12" x14ac:dyDescent="0.25">
      <c r="B200" s="58">
        <v>136</v>
      </c>
      <c r="C200" s="1" t="s">
        <v>311</v>
      </c>
      <c r="D200" s="68" t="s">
        <v>312</v>
      </c>
      <c r="E200" s="68" t="str">
        <f>TEXT($D200,"MMMM")</f>
        <v>dezembro</v>
      </c>
      <c r="F200" s="69" t="s">
        <v>21</v>
      </c>
      <c r="G200" s="58" t="s">
        <v>21</v>
      </c>
      <c r="H200" s="9"/>
      <c r="I200" s="23">
        <f>IF($H200 = "",ULTIMO_CONTATO[ALERTA ÚLTIMO CONTATO]-1,$N$1-$H200)</f>
        <v>14</v>
      </c>
      <c r="J200" s="58">
        <v>0</v>
      </c>
      <c r="K200" s="32">
        <v>0</v>
      </c>
      <c r="L200" s="44" t="str">
        <f>SELECAO[SELEÇÃO]</f>
        <v>SELECIONAR</v>
      </c>
    </row>
    <row r="201" spans="2:12" x14ac:dyDescent="0.25">
      <c r="B201" s="58">
        <v>198</v>
      </c>
      <c r="C201" s="1" t="s">
        <v>313</v>
      </c>
      <c r="D201" s="68" t="s">
        <v>314</v>
      </c>
      <c r="E201" s="68" t="str">
        <f>TEXT($D201,"MMMM")</f>
        <v>junho</v>
      </c>
      <c r="F201" s="69" t="s">
        <v>21</v>
      </c>
      <c r="G201" s="58" t="s">
        <v>21</v>
      </c>
      <c r="H201" s="9"/>
      <c r="I201" s="23">
        <f>IF($H201 = "",ULTIMO_CONTATO[ALERTA ÚLTIMO CONTATO]-1,$N$1-$H201)</f>
        <v>14</v>
      </c>
      <c r="J201" s="58">
        <v>0</v>
      </c>
      <c r="K201" s="32">
        <v>0</v>
      </c>
      <c r="L201" s="44" t="str">
        <f>SELECAO[SELEÇÃO]</f>
        <v>SELECIONAR</v>
      </c>
    </row>
    <row r="202" spans="2:12" x14ac:dyDescent="0.25">
      <c r="B202" s="58">
        <v>137</v>
      </c>
      <c r="C202" s="1" t="s">
        <v>315</v>
      </c>
      <c r="D202" s="68" t="s">
        <v>316</v>
      </c>
      <c r="E202" s="68" t="str">
        <f>TEXT($D202,"MMMM")</f>
        <v>junho</v>
      </c>
      <c r="F202" s="69" t="s">
        <v>21</v>
      </c>
      <c r="G202" s="58" t="s">
        <v>21</v>
      </c>
      <c r="H202" s="9"/>
      <c r="I202" s="23">
        <f>IF($H202 = "",ULTIMO_CONTATO[ALERTA ÚLTIMO CONTATO]-1,$N$1-$H202)</f>
        <v>14</v>
      </c>
      <c r="J202" s="58">
        <v>0</v>
      </c>
      <c r="K202" s="32">
        <v>0</v>
      </c>
      <c r="L202" s="44" t="str">
        <f>SELECAO[SELEÇÃO]</f>
        <v>SELECIONAR</v>
      </c>
    </row>
    <row r="203" spans="2:12" x14ac:dyDescent="0.25">
      <c r="B203" s="58">
        <v>208</v>
      </c>
      <c r="C203" s="1" t="s">
        <v>317</v>
      </c>
      <c r="D203" s="68" t="s">
        <v>318</v>
      </c>
      <c r="E203" s="68" t="str">
        <f>TEXT($D203,"MMMM")</f>
        <v>janeiro</v>
      </c>
      <c r="F203" s="69" t="s">
        <v>21</v>
      </c>
      <c r="G203" s="58" t="s">
        <v>21</v>
      </c>
      <c r="H203" s="9"/>
      <c r="I203" s="23">
        <f>IF($H203 = "",ULTIMO_CONTATO[ALERTA ÚLTIMO CONTATO]-1,$N$1-$H203)</f>
        <v>14</v>
      </c>
      <c r="J203" s="58">
        <v>0</v>
      </c>
      <c r="K203" s="32">
        <v>0</v>
      </c>
      <c r="L203" s="44" t="str">
        <f>SELECAO[SELEÇÃO]</f>
        <v>SELECIONAR</v>
      </c>
    </row>
    <row r="204" spans="2:12" x14ac:dyDescent="0.25">
      <c r="B204" s="58">
        <v>138</v>
      </c>
      <c r="C204" s="1" t="s">
        <v>319</v>
      </c>
      <c r="D204" s="68" t="s">
        <v>318</v>
      </c>
      <c r="E204" s="68" t="str">
        <f>TEXT($D204,"MMMM")</f>
        <v>janeiro</v>
      </c>
      <c r="F204" s="69" t="s">
        <v>21</v>
      </c>
      <c r="G204" s="58" t="s">
        <v>21</v>
      </c>
      <c r="H204" s="9"/>
      <c r="I204" s="23">
        <f>IF($H204 = "",ULTIMO_CONTATO[ALERTA ÚLTIMO CONTATO]-1,$N$1-$H204)</f>
        <v>14</v>
      </c>
      <c r="J204" s="58">
        <v>0</v>
      </c>
      <c r="K204" s="32">
        <v>0</v>
      </c>
      <c r="L204" s="44" t="str">
        <f>SELECAO[SELEÇÃO]</f>
        <v>SELECIONAR</v>
      </c>
    </row>
    <row r="205" spans="2:12" x14ac:dyDescent="0.25">
      <c r="B205" s="58">
        <v>139</v>
      </c>
      <c r="C205" s="1" t="s">
        <v>320</v>
      </c>
      <c r="D205" s="68">
        <v>35441</v>
      </c>
      <c r="E205" s="68" t="str">
        <f>TEXT($D205,"MMMM")</f>
        <v>janeiro</v>
      </c>
      <c r="F205" s="69" t="s">
        <v>21</v>
      </c>
      <c r="G205" s="58" t="s">
        <v>21</v>
      </c>
      <c r="H205" s="9"/>
      <c r="I205" s="23">
        <f>IF($H205 = "",ULTIMO_CONTATO[ALERTA ÚLTIMO CONTATO]-1,$N$1-$H205)</f>
        <v>14</v>
      </c>
      <c r="J205" s="58">
        <v>0</v>
      </c>
      <c r="K205" s="32">
        <v>0</v>
      </c>
      <c r="L205" s="44" t="str">
        <f>SELECAO[SELEÇÃO]</f>
        <v>SELECIONAR</v>
      </c>
    </row>
    <row r="206" spans="2:12" x14ac:dyDescent="0.25">
      <c r="B206" s="58">
        <v>140</v>
      </c>
      <c r="C206" s="1" t="s">
        <v>321</v>
      </c>
      <c r="D206" s="68" t="s">
        <v>322</v>
      </c>
      <c r="E206" s="68" t="str">
        <f>TEXT($D206,"MMMM")</f>
        <v>março</v>
      </c>
      <c r="F206" s="69" t="s">
        <v>21</v>
      </c>
      <c r="G206" s="58" t="s">
        <v>21</v>
      </c>
      <c r="H206" s="9"/>
      <c r="I206" s="23">
        <f>IF($H206 = "",ULTIMO_CONTATO[ALERTA ÚLTIMO CONTATO]-1,$N$1-$H206)</f>
        <v>14</v>
      </c>
      <c r="J206" s="58">
        <v>0</v>
      </c>
      <c r="K206" s="32">
        <v>0</v>
      </c>
      <c r="L206" s="44" t="str">
        <f>SELECAO[SELEÇÃO]</f>
        <v>SELECIONAR</v>
      </c>
    </row>
    <row r="207" spans="2:12" x14ac:dyDescent="0.25">
      <c r="B207" s="58">
        <v>215</v>
      </c>
      <c r="C207" s="1" t="s">
        <v>323</v>
      </c>
      <c r="D207" s="68" t="s">
        <v>324</v>
      </c>
      <c r="E207" s="68" t="str">
        <f>TEXT($D207,"MMMM")</f>
        <v>abril</v>
      </c>
      <c r="F207" s="69" t="s">
        <v>21</v>
      </c>
      <c r="G207" s="58" t="s">
        <v>21</v>
      </c>
      <c r="H207" s="9"/>
      <c r="I207" s="23">
        <f>IF($H207 = "",ULTIMO_CONTATO[ALERTA ÚLTIMO CONTATO]-1,$N$1-$H207)</f>
        <v>14</v>
      </c>
      <c r="J207" s="58">
        <v>0</v>
      </c>
      <c r="K207" s="32">
        <v>0</v>
      </c>
      <c r="L207" s="44" t="str">
        <f>SELECAO[SELEÇÃO]</f>
        <v>SELECIONAR</v>
      </c>
    </row>
    <row r="208" spans="2:12" x14ac:dyDescent="0.25">
      <c r="B208" s="58">
        <v>141</v>
      </c>
      <c r="C208" s="1" t="s">
        <v>325</v>
      </c>
      <c r="D208" s="68" t="s">
        <v>326</v>
      </c>
      <c r="E208" s="68" t="str">
        <f>TEXT($D208,"MMMM")</f>
        <v>abril</v>
      </c>
      <c r="F208" s="69" t="s">
        <v>21</v>
      </c>
      <c r="G208" s="58" t="s">
        <v>21</v>
      </c>
      <c r="H208" s="9"/>
      <c r="I208" s="23">
        <f>IF($H208 = "",ULTIMO_CONTATO[ALERTA ÚLTIMO CONTATO]-1,$N$1-$H208)</f>
        <v>14</v>
      </c>
      <c r="J208" s="58">
        <v>0</v>
      </c>
      <c r="K208" s="32">
        <v>0</v>
      </c>
      <c r="L208" s="44" t="str">
        <f>SELECAO[SELEÇÃO]</f>
        <v>SELECIONAR</v>
      </c>
    </row>
    <row r="209" spans="2:12" x14ac:dyDescent="0.25">
      <c r="B209" s="58">
        <v>225</v>
      </c>
      <c r="C209" s="1" t="s">
        <v>325</v>
      </c>
      <c r="D209" s="68"/>
      <c r="E209" s="68" t="str">
        <f>TEXT($D209,"MMMM")</f>
        <v>janeiro</v>
      </c>
      <c r="F209" s="69" t="s">
        <v>21</v>
      </c>
      <c r="G209" s="58" t="s">
        <v>21</v>
      </c>
      <c r="H209" s="9"/>
      <c r="I209" s="23">
        <f>IF($H209 = "",ULTIMO_CONTATO[ALERTA ÚLTIMO CONTATO]-1,$N$1-$H209)</f>
        <v>14</v>
      </c>
      <c r="J209" s="58">
        <v>0</v>
      </c>
      <c r="K209" s="32">
        <v>0</v>
      </c>
      <c r="L209" s="44" t="str">
        <f>SELECAO[SELEÇÃO]</f>
        <v>SELECIONAR</v>
      </c>
    </row>
    <row r="210" spans="2:12" x14ac:dyDescent="0.25">
      <c r="B210" s="58">
        <v>142</v>
      </c>
      <c r="C210" s="1" t="s">
        <v>327</v>
      </c>
      <c r="D210" s="68" t="s">
        <v>328</v>
      </c>
      <c r="E210" s="68" t="str">
        <f>TEXT($D210,"MMMM")</f>
        <v>dezembro</v>
      </c>
      <c r="F210" s="69" t="s">
        <v>21</v>
      </c>
      <c r="G210" s="58" t="s">
        <v>21</v>
      </c>
      <c r="H210" s="9"/>
      <c r="I210" s="23">
        <f>IF($H210 = "",ULTIMO_CONTATO[ALERTA ÚLTIMO CONTATO]-1,$N$1-$H210)</f>
        <v>14</v>
      </c>
      <c r="J210" s="58">
        <v>0</v>
      </c>
      <c r="K210" s="32">
        <v>0</v>
      </c>
      <c r="L210" s="44" t="str">
        <f>SELECAO[SELEÇÃO]</f>
        <v>SELECIONAR</v>
      </c>
    </row>
    <row r="211" spans="2:12" x14ac:dyDescent="0.25">
      <c r="B211" s="58">
        <v>199</v>
      </c>
      <c r="C211" s="1" t="s">
        <v>329</v>
      </c>
      <c r="D211" s="68">
        <v>24169</v>
      </c>
      <c r="E211" s="68" t="str">
        <f>TEXT($D211,"MMMM")</f>
        <v>março</v>
      </c>
      <c r="F211" s="69" t="s">
        <v>21</v>
      </c>
      <c r="G211" s="58" t="s">
        <v>21</v>
      </c>
      <c r="H211" s="9"/>
      <c r="I211" s="23">
        <f>IF($H211 = "",ULTIMO_CONTATO[ALERTA ÚLTIMO CONTATO]-1,$N$1-$H211)</f>
        <v>14</v>
      </c>
      <c r="J211" s="58">
        <v>0</v>
      </c>
      <c r="K211" s="32">
        <v>0</v>
      </c>
      <c r="L211" s="44" t="str">
        <f>SELECAO[SELEÇÃO]</f>
        <v>SELECIONAR</v>
      </c>
    </row>
    <row r="212" spans="2:12" x14ac:dyDescent="0.25">
      <c r="B212" s="58">
        <v>143</v>
      </c>
      <c r="C212" s="1" t="s">
        <v>330</v>
      </c>
      <c r="D212" s="68">
        <v>29260</v>
      </c>
      <c r="E212" s="68" t="str">
        <f>TEXT($D212,"MMMM")</f>
        <v>fevereiro</v>
      </c>
      <c r="F212" s="69" t="s">
        <v>21</v>
      </c>
      <c r="G212" s="58" t="s">
        <v>21</v>
      </c>
      <c r="H212" s="9"/>
      <c r="I212" s="23">
        <f>IF($H212 = "",ULTIMO_CONTATO[ALERTA ÚLTIMO CONTATO]-1,$N$1-$H212)</f>
        <v>14</v>
      </c>
      <c r="J212" s="58">
        <v>0</v>
      </c>
      <c r="K212" s="32">
        <v>0</v>
      </c>
      <c r="L212" s="44" t="str">
        <f>SELECAO[SELEÇÃO]</f>
        <v>SELECIONAR</v>
      </c>
    </row>
    <row r="213" spans="2:12" x14ac:dyDescent="0.25">
      <c r="B213" s="58">
        <v>200</v>
      </c>
      <c r="C213" s="1" t="s">
        <v>331</v>
      </c>
      <c r="D213" s="68" t="s">
        <v>332</v>
      </c>
      <c r="E213" s="68" t="str">
        <f>TEXT($D213,"MMMM")</f>
        <v>setembro</v>
      </c>
      <c r="F213" s="69" t="s">
        <v>21</v>
      </c>
      <c r="G213" s="58" t="s">
        <v>21</v>
      </c>
      <c r="H213" s="9"/>
      <c r="I213" s="23">
        <f>IF($H213 = "",ULTIMO_CONTATO[ALERTA ÚLTIMO CONTATO]-1,$N$1-$H213)</f>
        <v>14</v>
      </c>
      <c r="J213" s="58">
        <v>0</v>
      </c>
      <c r="K213" s="32">
        <v>0</v>
      </c>
      <c r="L213" s="44" t="str">
        <f>SELECAO[SELEÇÃO]</f>
        <v>SELECIONAR</v>
      </c>
    </row>
    <row r="214" spans="2:12" x14ac:dyDescent="0.25">
      <c r="B214" s="58">
        <v>144</v>
      </c>
      <c r="C214" s="1" t="s">
        <v>333</v>
      </c>
      <c r="D214" s="68">
        <v>33939</v>
      </c>
      <c r="E214" s="68" t="str">
        <f>TEXT($D214,"MMMM")</f>
        <v>dezembro</v>
      </c>
      <c r="F214" s="69" t="s">
        <v>21</v>
      </c>
      <c r="G214" s="58" t="s">
        <v>21</v>
      </c>
      <c r="H214" s="9"/>
      <c r="I214" s="23">
        <f>IF($H214 = "",ULTIMO_CONTATO[ALERTA ÚLTIMO CONTATO]-1,$N$1-$H214)</f>
        <v>14</v>
      </c>
      <c r="J214" s="58">
        <v>0</v>
      </c>
      <c r="K214" s="32">
        <v>0</v>
      </c>
      <c r="L214" s="44" t="str">
        <f>SELECAO[SELEÇÃO]</f>
        <v>SELECIONAR</v>
      </c>
    </row>
    <row r="215" spans="2:12" x14ac:dyDescent="0.25">
      <c r="B215" s="58">
        <v>145</v>
      </c>
      <c r="C215" s="1" t="s">
        <v>334</v>
      </c>
      <c r="D215" s="68" t="s">
        <v>335</v>
      </c>
      <c r="E215" s="68" t="str">
        <f>TEXT($D215,"MMMM")</f>
        <v>outubro</v>
      </c>
      <c r="F215" s="69" t="s">
        <v>21</v>
      </c>
      <c r="G215" s="58" t="s">
        <v>21</v>
      </c>
      <c r="H215" s="9"/>
      <c r="I215" s="23">
        <f>IF($H215 = "",ULTIMO_CONTATO[ALERTA ÚLTIMO CONTATO]-1,$N$1-$H215)</f>
        <v>14</v>
      </c>
      <c r="J215" s="58">
        <v>0</v>
      </c>
      <c r="K215" s="32">
        <v>0</v>
      </c>
      <c r="L215" s="44" t="str">
        <f>SELECAO[SELEÇÃO]</f>
        <v>SELECIONAR</v>
      </c>
    </row>
    <row r="216" spans="2:12" x14ac:dyDescent="0.25">
      <c r="B216" s="58">
        <v>201</v>
      </c>
      <c r="C216" s="1" t="s">
        <v>336</v>
      </c>
      <c r="D216" s="68" t="s">
        <v>335</v>
      </c>
      <c r="E216" s="68" t="str">
        <f>TEXT($D216,"MMMM")</f>
        <v>outubro</v>
      </c>
      <c r="F216" s="69" t="s">
        <v>21</v>
      </c>
      <c r="G216" s="58" t="s">
        <v>21</v>
      </c>
      <c r="H216" s="9"/>
      <c r="I216" s="23">
        <f>IF($H216 = "",ULTIMO_CONTATO[ALERTA ÚLTIMO CONTATO]-1,$N$1-$H216)</f>
        <v>14</v>
      </c>
      <c r="J216" s="58">
        <v>0</v>
      </c>
      <c r="K216" s="32">
        <v>0</v>
      </c>
      <c r="L216" s="44" t="str">
        <f>SELECAO[SELEÇÃO]</f>
        <v>SELECIONAR</v>
      </c>
    </row>
    <row r="217" spans="2:12" x14ac:dyDescent="0.25">
      <c r="B217" s="58">
        <v>146</v>
      </c>
      <c r="C217" s="1" t="s">
        <v>337</v>
      </c>
      <c r="D217" s="68" t="s">
        <v>324</v>
      </c>
      <c r="E217" s="68" t="str">
        <f>TEXT($D217,"MMMM")</f>
        <v>abril</v>
      </c>
      <c r="F217" s="69" t="s">
        <v>21</v>
      </c>
      <c r="G217" s="58" t="s">
        <v>21</v>
      </c>
      <c r="H217" s="9"/>
      <c r="I217" s="23">
        <f>IF($H217 = "",ULTIMO_CONTATO[ALERTA ÚLTIMO CONTATO]-1,$N$1-$H217)</f>
        <v>14</v>
      </c>
      <c r="J217" s="58">
        <v>0</v>
      </c>
      <c r="K217" s="32">
        <v>0</v>
      </c>
      <c r="L217" s="44" t="str">
        <f>SELECAO[SELEÇÃO]</f>
        <v>SELECIONAR</v>
      </c>
    </row>
    <row r="218" spans="2:12" x14ac:dyDescent="0.25">
      <c r="B218" s="58">
        <v>202</v>
      </c>
      <c r="C218" s="1" t="s">
        <v>338</v>
      </c>
      <c r="D218" s="68"/>
      <c r="E218" s="68" t="str">
        <f>TEXT($D218,"MMMM")</f>
        <v>janeiro</v>
      </c>
      <c r="F218" s="69" t="s">
        <v>21</v>
      </c>
      <c r="G218" s="58" t="s">
        <v>21</v>
      </c>
      <c r="H218" s="9"/>
      <c r="I218" s="23">
        <f>IF($H218 = "",ULTIMO_CONTATO[ALERTA ÚLTIMO CONTATO]-1,$N$1-$H218)</f>
        <v>14</v>
      </c>
      <c r="J218" s="58">
        <v>0</v>
      </c>
      <c r="K218" s="32">
        <v>0</v>
      </c>
      <c r="L218" s="44" t="str">
        <f>SELECAO[SELEÇÃO]</f>
        <v>SELECIONAR</v>
      </c>
    </row>
    <row r="219" spans="2:12" x14ac:dyDescent="0.25">
      <c r="B219" s="58">
        <v>147</v>
      </c>
      <c r="C219" s="1" t="s">
        <v>339</v>
      </c>
      <c r="D219" s="68" t="s">
        <v>340</v>
      </c>
      <c r="E219" s="68" t="str">
        <f>TEXT($D219,"MMMM")</f>
        <v>novembro</v>
      </c>
      <c r="F219" s="69" t="s">
        <v>21</v>
      </c>
      <c r="G219" s="58" t="s">
        <v>21</v>
      </c>
      <c r="H219" s="9"/>
      <c r="I219" s="23">
        <f>IF($H219 = "",ULTIMO_CONTATO[ALERTA ÚLTIMO CONTATO]-1,$N$1-$H219)</f>
        <v>14</v>
      </c>
      <c r="J219" s="58">
        <v>0</v>
      </c>
      <c r="K219" s="32">
        <v>0</v>
      </c>
      <c r="L219" s="44" t="str">
        <f>SELECAO[SELEÇÃO]</f>
        <v>SELECIONAR</v>
      </c>
    </row>
    <row r="220" spans="2:12" x14ac:dyDescent="0.25">
      <c r="B220" s="58">
        <v>148</v>
      </c>
      <c r="C220" s="1" t="s">
        <v>341</v>
      </c>
      <c r="D220" s="68">
        <v>36498</v>
      </c>
      <c r="E220" s="68" t="str">
        <f>TEXT($D220,"MMMM")</f>
        <v>dezembro</v>
      </c>
      <c r="F220" s="69" t="s">
        <v>21</v>
      </c>
      <c r="G220" s="58" t="s">
        <v>21</v>
      </c>
      <c r="H220" s="9"/>
      <c r="I220" s="23">
        <f>IF($H220 = "",ULTIMO_CONTATO[ALERTA ÚLTIMO CONTATO]-1,$N$1-$H220)</f>
        <v>14</v>
      </c>
      <c r="J220" s="58">
        <v>0</v>
      </c>
      <c r="K220" s="32">
        <v>0</v>
      </c>
      <c r="L220" s="44" t="str">
        <f>SELECAO[SELEÇÃO]</f>
        <v>SELECIONAR</v>
      </c>
    </row>
    <row r="221" spans="2:12" x14ac:dyDescent="0.25">
      <c r="B221" s="58">
        <v>203</v>
      </c>
      <c r="C221" s="1" t="s">
        <v>342</v>
      </c>
      <c r="D221" s="68"/>
      <c r="E221" s="68" t="str">
        <f>TEXT($D221,"MMMM")</f>
        <v>janeiro</v>
      </c>
      <c r="F221" s="69" t="s">
        <v>21</v>
      </c>
      <c r="G221" s="58" t="s">
        <v>21</v>
      </c>
      <c r="H221" s="9"/>
      <c r="I221" s="23">
        <f>IF($H221 = "",ULTIMO_CONTATO[ALERTA ÚLTIMO CONTATO]-1,$N$1-$H221)</f>
        <v>14</v>
      </c>
      <c r="J221" s="58">
        <v>0</v>
      </c>
      <c r="K221" s="32">
        <v>0</v>
      </c>
      <c r="L221" s="44" t="str">
        <f>SELECAO[SELEÇÃO]</f>
        <v>SELECIONAR</v>
      </c>
    </row>
    <row r="222" spans="2:12" x14ac:dyDescent="0.25">
      <c r="B222" s="58">
        <v>204</v>
      </c>
      <c r="C222" s="1" t="s">
        <v>343</v>
      </c>
      <c r="D222" s="68" t="s">
        <v>344</v>
      </c>
      <c r="E222" s="68" t="str">
        <f>TEXT($D222,"MMMM")</f>
        <v>setembro</v>
      </c>
      <c r="F222" s="69" t="s">
        <v>21</v>
      </c>
      <c r="G222" s="58" t="s">
        <v>21</v>
      </c>
      <c r="H222" s="9"/>
      <c r="I222" s="23">
        <f>IF($H222 = "",ULTIMO_CONTATO[ALERTA ÚLTIMO CONTATO]-1,$N$1-$H222)</f>
        <v>14</v>
      </c>
      <c r="J222" s="58">
        <v>0</v>
      </c>
      <c r="K222" s="32">
        <v>0</v>
      </c>
      <c r="L222" s="44" t="str">
        <f>SELECAO[SELEÇÃO]</f>
        <v>SELECIONAR</v>
      </c>
    </row>
    <row r="223" spans="2:12" x14ac:dyDescent="0.25">
      <c r="B223" s="58">
        <v>221</v>
      </c>
      <c r="C223" s="1" t="s">
        <v>345</v>
      </c>
      <c r="D223" s="68"/>
      <c r="E223" s="68" t="str">
        <f>TEXT($D223,"MMMM")</f>
        <v>janeiro</v>
      </c>
      <c r="F223" s="69" t="s">
        <v>21</v>
      </c>
      <c r="G223" s="58" t="s">
        <v>21</v>
      </c>
      <c r="H223" s="9"/>
      <c r="I223" s="23">
        <f>IF($H223 = "",ULTIMO_CONTATO[ALERTA ÚLTIMO CONTATO]-1,$N$1-$H223)</f>
        <v>14</v>
      </c>
      <c r="J223" s="58">
        <v>0</v>
      </c>
      <c r="K223" s="32">
        <v>0</v>
      </c>
      <c r="L223" s="44" t="str">
        <f>SELECAO[SELEÇÃO]</f>
        <v>SELECIONAR</v>
      </c>
    </row>
    <row r="224" spans="2:12" x14ac:dyDescent="0.25">
      <c r="B224" s="58">
        <v>149</v>
      </c>
      <c r="C224" s="1" t="s">
        <v>346</v>
      </c>
      <c r="D224" s="68" t="s">
        <v>347</v>
      </c>
      <c r="E224" s="68" t="str">
        <f>TEXT($D224,"MMMM")</f>
        <v>março</v>
      </c>
      <c r="F224" s="69" t="s">
        <v>21</v>
      </c>
      <c r="G224" s="58" t="s">
        <v>21</v>
      </c>
      <c r="H224" s="9"/>
      <c r="I224" s="23">
        <f>IF($H224 = "",ULTIMO_CONTATO[ALERTA ÚLTIMO CONTATO]-1,$N$1-$H224)</f>
        <v>14</v>
      </c>
      <c r="J224" s="58">
        <v>0</v>
      </c>
      <c r="K224" s="32">
        <v>0</v>
      </c>
      <c r="L224" s="44" t="str">
        <f>SELECAO[SELEÇÃO]</f>
        <v>SELECIONAR</v>
      </c>
    </row>
    <row r="225" spans="2:12" x14ac:dyDescent="0.25">
      <c r="B225" s="58">
        <v>150</v>
      </c>
      <c r="C225" s="1" t="s">
        <v>348</v>
      </c>
      <c r="D225" s="68" t="s">
        <v>349</v>
      </c>
      <c r="E225" s="68" t="str">
        <f>TEXT($D225,"MMMM")</f>
        <v>dezembro</v>
      </c>
      <c r="F225" s="69" t="s">
        <v>21</v>
      </c>
      <c r="G225" s="58" t="s">
        <v>21</v>
      </c>
      <c r="H225" s="9"/>
      <c r="I225" s="23">
        <f>IF($H225 = "",ULTIMO_CONTATO[ALERTA ÚLTIMO CONTATO]-1,$N$1-$H225)</f>
        <v>14</v>
      </c>
      <c r="J225" s="58">
        <v>0</v>
      </c>
      <c r="K225" s="32">
        <v>0</v>
      </c>
      <c r="L225" s="44" t="str">
        <f>SELECAO[SELEÇÃO]</f>
        <v>SELECIONAR</v>
      </c>
    </row>
    <row r="226" spans="2:12" x14ac:dyDescent="0.25">
      <c r="B226" s="58">
        <v>205</v>
      </c>
      <c r="C226" s="1" t="s">
        <v>348</v>
      </c>
      <c r="D226" s="68" t="s">
        <v>349</v>
      </c>
      <c r="E226" s="68" t="str">
        <f>TEXT($D226,"MMMM")</f>
        <v>dezembro</v>
      </c>
      <c r="F226" s="69" t="s">
        <v>21</v>
      </c>
      <c r="G226" s="58" t="s">
        <v>21</v>
      </c>
      <c r="H226" s="9"/>
      <c r="I226" s="23">
        <f>IF($H226 = "",ULTIMO_CONTATO[ALERTA ÚLTIMO CONTATO]-1,$N$1-$H226)</f>
        <v>14</v>
      </c>
      <c r="J226" s="58">
        <v>0</v>
      </c>
      <c r="K226" s="32">
        <v>0</v>
      </c>
      <c r="L226" s="44" t="str">
        <f>SELECAO[SELEÇÃO]</f>
        <v>SELECIONAR</v>
      </c>
    </row>
    <row r="227" spans="2:12" x14ac:dyDescent="0.25">
      <c r="B227" s="58">
        <v>151</v>
      </c>
      <c r="C227" s="1" t="s">
        <v>350</v>
      </c>
      <c r="D227" s="68">
        <v>34555</v>
      </c>
      <c r="E227" s="68" t="str">
        <f>TEXT($D227,"MMMM")</f>
        <v>agosto</v>
      </c>
      <c r="F227" s="69" t="s">
        <v>21</v>
      </c>
      <c r="G227" s="58" t="s">
        <v>21</v>
      </c>
      <c r="H227" s="9"/>
      <c r="I227" s="23">
        <f>IF($H227 = "",ULTIMO_CONTATO[ALERTA ÚLTIMO CONTATO]-1,$N$1-$H227)</f>
        <v>14</v>
      </c>
      <c r="J227" s="58">
        <v>0</v>
      </c>
      <c r="K227" s="32">
        <v>0</v>
      </c>
      <c r="L227" s="44" t="str">
        <f>SELECAO[SELEÇÃO]</f>
        <v>SELECIONAR</v>
      </c>
    </row>
    <row r="228" spans="2:12" x14ac:dyDescent="0.25">
      <c r="B228" s="58">
        <v>152</v>
      </c>
      <c r="C228" s="1" t="s">
        <v>351</v>
      </c>
      <c r="D228" s="68">
        <v>28286</v>
      </c>
      <c r="E228" s="68" t="str">
        <f>TEXT($D228,"MMMM")</f>
        <v>junho</v>
      </c>
      <c r="F228" s="69" t="s">
        <v>21</v>
      </c>
      <c r="G228" s="58" t="s">
        <v>21</v>
      </c>
      <c r="H228" s="9"/>
      <c r="I228" s="23">
        <f>IF($H228 = "",ULTIMO_CONTATO[ALERTA ÚLTIMO CONTATO]-1,$N$1-$H228)</f>
        <v>14</v>
      </c>
      <c r="J228" s="58">
        <v>0</v>
      </c>
      <c r="K228" s="32">
        <v>0</v>
      </c>
      <c r="L228" s="44" t="str">
        <f>SELECAO[SELEÇÃO]</f>
        <v>SELECIONAR</v>
      </c>
    </row>
    <row r="229" spans="2:12" x14ac:dyDescent="0.25">
      <c r="B229" s="58">
        <v>206</v>
      </c>
      <c r="C229" s="1" t="s">
        <v>352</v>
      </c>
      <c r="D229" s="68" t="s">
        <v>353</v>
      </c>
      <c r="E229" s="68" t="str">
        <f>TEXT($D229,"MMMM")</f>
        <v>julho</v>
      </c>
      <c r="F229" s="69" t="s">
        <v>21</v>
      </c>
      <c r="G229" s="58" t="s">
        <v>21</v>
      </c>
      <c r="H229" s="9"/>
      <c r="I229" s="23">
        <f>IF($H229 = "",ULTIMO_CONTATO[ALERTA ÚLTIMO CONTATO]-1,$N$1-$H229)</f>
        <v>14</v>
      </c>
      <c r="J229" s="58">
        <v>0</v>
      </c>
      <c r="K229" s="32">
        <v>0</v>
      </c>
      <c r="L229" s="44" t="str">
        <f>SELECAO[SELEÇÃO]</f>
        <v>SELECIONAR</v>
      </c>
    </row>
    <row r="230" spans="2:12" x14ac:dyDescent="0.25">
      <c r="B230" s="58">
        <v>153</v>
      </c>
      <c r="C230" s="1" t="s">
        <v>354</v>
      </c>
      <c r="D230" s="68" t="s">
        <v>353</v>
      </c>
      <c r="E230" s="68" t="str">
        <f>TEXT($D230,"MMMM")</f>
        <v>julho</v>
      </c>
      <c r="F230" s="69" t="s">
        <v>21</v>
      </c>
      <c r="G230" s="58" t="s">
        <v>21</v>
      </c>
      <c r="H230" s="9"/>
      <c r="I230" s="23">
        <f>IF($H230 = "",ULTIMO_CONTATO[ALERTA ÚLTIMO CONTATO]-1,$N$1-$H230)</f>
        <v>14</v>
      </c>
      <c r="J230" s="58">
        <v>0</v>
      </c>
      <c r="K230" s="32">
        <v>0</v>
      </c>
      <c r="L230" s="44" t="str">
        <f>SELECAO[SELEÇÃO]</f>
        <v>SELECIONAR</v>
      </c>
    </row>
    <row r="231" spans="2:12" x14ac:dyDescent="0.25">
      <c r="B231" s="58">
        <v>154</v>
      </c>
      <c r="C231" s="1" t="s">
        <v>355</v>
      </c>
      <c r="D231" s="68">
        <v>34917</v>
      </c>
      <c r="E231" s="68" t="str">
        <f>TEXT($D231,"MMMM")</f>
        <v>agosto</v>
      </c>
      <c r="F231" s="69" t="s">
        <v>21</v>
      </c>
      <c r="G231" s="58" t="s">
        <v>21</v>
      </c>
      <c r="H231" s="9"/>
      <c r="I231" s="23">
        <f>IF($H231 = "",ULTIMO_CONTATO[ALERTA ÚLTIMO CONTATO]-1,$N$1-$H231)</f>
        <v>14</v>
      </c>
      <c r="J231" s="58">
        <v>0</v>
      </c>
      <c r="K231" s="32">
        <v>0</v>
      </c>
      <c r="L231" s="44" t="str">
        <f>SELECAO[SELEÇÃO]</f>
        <v>SELECIONAR</v>
      </c>
    </row>
    <row r="232" spans="2:12" x14ac:dyDescent="0.25">
      <c r="B232" s="58">
        <v>155</v>
      </c>
      <c r="C232" s="1" t="s">
        <v>356</v>
      </c>
      <c r="D232" s="68" t="s">
        <v>357</v>
      </c>
      <c r="E232" s="68" t="str">
        <f>TEXT($D232,"MMMM")</f>
        <v>abril</v>
      </c>
      <c r="F232" s="69" t="s">
        <v>21</v>
      </c>
      <c r="G232" s="58" t="s">
        <v>21</v>
      </c>
      <c r="H232" s="9"/>
      <c r="I232" s="23">
        <f>IF($H232 = "",ULTIMO_CONTATO[ALERTA ÚLTIMO CONTATO]-1,$N$1-$H232)</f>
        <v>14</v>
      </c>
      <c r="J232" s="58">
        <v>0</v>
      </c>
      <c r="K232" s="32">
        <v>0</v>
      </c>
      <c r="L232" s="44" t="str">
        <f>SELECAO[SELEÇÃO]</f>
        <v>SELECIONAR</v>
      </c>
    </row>
  </sheetData>
  <mergeCells count="1">
    <mergeCell ref="G1:K1"/>
  </mergeCells>
  <conditionalFormatting sqref="D6:D232">
    <cfRule type="expression" dxfId="6" priority="6">
      <formula>$E6=$L$1</formula>
    </cfRule>
  </conditionalFormatting>
  <conditionalFormatting sqref="B6:G232 J6:L232">
    <cfRule type="expression" dxfId="5" priority="7" stopIfTrue="1">
      <formula>$L6="SELECIONADO"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copies="4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000000-000E-0000-0100-000001000000}">
            <xm:f>$I6&gt;=CONFIGURACOES!$N$5</xm:f>
            <x14:dxf>
              <font>
                <b/>
                <i val="0"/>
                <color theme="7" tint="-0.499984740745262"/>
              </font>
              <fill>
                <patternFill>
                  <bgColor rgb="FFFFC000"/>
                </patternFill>
              </fill>
            </x14:dxf>
          </x14:cfRule>
          <xm:sqref>H6:H232</xm:sqref>
        </x14:conditionalFormatting>
        <x14:conditionalFormatting xmlns:xm="http://schemas.microsoft.com/office/excel/2006/main">
          <x14:cfRule type="expression" priority="5" id="{7577E926-2F98-4484-B771-4702FB25D54D}">
            <xm:f>$F6=CONFIGURACOES!$D$5</xm:f>
            <x14:dxf>
              <font>
                <b/>
                <i val="0"/>
                <color theme="7" tint="-0.499984740745262"/>
              </font>
              <fill>
                <patternFill>
                  <bgColor rgb="FFFFC000"/>
                </patternFill>
              </fill>
            </x14:dxf>
          </x14:cfRule>
          <xm:sqref>F6:F232</xm:sqref>
        </x14:conditionalFormatting>
        <x14:conditionalFormatting xmlns:xm="http://schemas.microsoft.com/office/excel/2006/main">
          <x14:cfRule type="expression" priority="4" id="{B6AB0A35-CA94-4D14-B93F-A85CF3067ED9}">
            <xm:f>$G6=CONFIGURACOES!$F$5</xm:f>
            <x14:dxf>
              <font>
                <b/>
                <i val="0"/>
                <color theme="7" tint="-0.499984740745262"/>
              </font>
              <fill>
                <patternFill>
                  <bgColor rgb="FFFFC000"/>
                </patternFill>
              </fill>
            </x14:dxf>
          </x14:cfRule>
          <xm:sqref>G6:G232</xm:sqref>
        </x14:conditionalFormatting>
        <x14:conditionalFormatting xmlns:xm="http://schemas.microsoft.com/office/excel/2006/main">
          <x14:cfRule type="expression" priority="2" id="{2693B15C-B0EB-41D9-857B-1E6CDD716C4E}">
            <xm:f>$K6&gt;=CONFIGURACOES!$H$5</xm:f>
            <x14:dxf>
              <font>
                <b/>
                <i val="0"/>
                <color theme="9" tint="-0.499984740745262"/>
              </font>
              <fill>
                <patternFill>
                  <bgColor theme="9" tint="0.39994506668294322"/>
                </patternFill>
              </fill>
            </x14:dxf>
          </x14:cfRule>
          <x14:cfRule type="expression" priority="3" id="{C7ADB3C7-65B7-41B0-85A9-17B9D781E956}">
            <xm:f>$K6&gt;=CONFIGURACOES!$H$6</xm:f>
            <x14:dxf>
              <font>
                <b/>
                <i val="0"/>
                <color theme="7" tint="-0.499984740745262"/>
              </font>
              <fill>
                <patternFill>
                  <bgColor rgb="FFFFC000"/>
                </patternFill>
              </fill>
            </x14:dxf>
          </x14:cfRule>
          <xm:sqref>K6:K232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DE133-2358-46AC-895A-1CAC6F9DF26E}">
  <sheetPr codeName="PlanArquiteto"/>
  <dimension ref="B1:U19"/>
  <sheetViews>
    <sheetView showGridLines="0" zoomScale="90" zoomScaleNormal="90" workbookViewId="0">
      <pane ySplit="16" topLeftCell="A17" activePane="bottomLeft" state="frozen"/>
      <selection pane="bottomLeft"/>
    </sheetView>
  </sheetViews>
  <sheetFormatPr defaultRowHeight="50.1" customHeight="1" x14ac:dyDescent="0.25"/>
  <cols>
    <col min="1" max="1" width="1.7109375" style="1" customWidth="1"/>
    <col min="2" max="2" width="19.7109375" style="1" customWidth="1"/>
    <col min="3" max="3" width="79.7109375" style="1" customWidth="1"/>
    <col min="4" max="4" width="19.7109375" style="1" customWidth="1"/>
    <col min="5" max="5" width="79.7109375" style="1" customWidth="1"/>
    <col min="6" max="6" width="26.42578125" style="1" hidden="1" customWidth="1"/>
    <col min="7" max="7" width="33.42578125" style="1" customWidth="1"/>
    <col min="8" max="8" width="20.5703125" style="1" customWidth="1"/>
    <col min="9" max="9" width="23.7109375" style="1" customWidth="1"/>
    <col min="10" max="10" width="15.7109375" style="1" hidden="1" customWidth="1"/>
    <col min="11" max="11" width="22.42578125" style="1" hidden="1" customWidth="1"/>
    <col min="12" max="12" width="1.7109375" style="1" customWidth="1"/>
    <col min="13" max="14" width="21.42578125" style="1" customWidth="1"/>
    <col min="15" max="16" width="9.140625" style="1"/>
    <col min="17" max="17" width="4.85546875" style="1" customWidth="1"/>
    <col min="18" max="18" width="1.7109375" style="1" customWidth="1"/>
    <col min="19" max="16384" width="9.140625" style="1"/>
  </cols>
  <sheetData>
    <row r="1" spans="2:21" s="2" customFormat="1" ht="69" x14ac:dyDescent="0.25">
      <c r="B1" s="3" t="s">
        <v>39</v>
      </c>
      <c r="C1" s="3"/>
      <c r="D1" s="3"/>
    </row>
    <row r="2" spans="2:21" s="22" customFormat="1" ht="5.0999999999999996" customHeight="1" x14ac:dyDescent="0.25"/>
    <row r="3" spans="2:21" ht="9.9499999999999993" customHeight="1" x14ac:dyDescent="0.25"/>
    <row r="4" spans="2:21" ht="26.25" customHeight="1" x14ac:dyDescent="0.25">
      <c r="B4" s="64"/>
      <c r="C4" s="17" t="s">
        <v>4</v>
      </c>
      <c r="D4" s="7"/>
      <c r="E4" s="8" t="s">
        <v>5</v>
      </c>
      <c r="F4" s="5"/>
      <c r="G4" s="51" t="s">
        <v>7</v>
      </c>
      <c r="H4" s="51" t="s">
        <v>14</v>
      </c>
      <c r="I4" s="51" t="s">
        <v>15</v>
      </c>
      <c r="J4" s="18" t="s">
        <v>23</v>
      </c>
      <c r="O4" s="14"/>
      <c r="P4" s="15"/>
      <c r="Q4" s="15"/>
      <c r="R4" s="15"/>
      <c r="S4" s="15"/>
      <c r="T4" s="15"/>
      <c r="U4" s="15"/>
    </row>
    <row r="5" spans="2:21" ht="26.25" x14ac:dyDescent="0.25">
      <c r="B5" s="64"/>
      <c r="C5" s="65"/>
      <c r="D5" s="66"/>
      <c r="E5" s="26"/>
      <c r="F5" s="39"/>
      <c r="G5" s="57"/>
      <c r="H5" s="24">
        <f>SUM(VENDA_ARQUITETOS[VENDA])</f>
        <v>0</v>
      </c>
      <c r="I5" s="25">
        <f>SUM(VENDA_ARQUITETOS[PONTUAÇÃO])</f>
        <v>0</v>
      </c>
      <c r="J5" s="24">
        <v>0</v>
      </c>
      <c r="O5" s="11"/>
      <c r="P5" s="11"/>
      <c r="Q5" s="11"/>
      <c r="R5" s="11"/>
      <c r="S5" s="11"/>
      <c r="T5" s="11"/>
      <c r="U5" s="11"/>
    </row>
    <row r="6" spans="2:21" ht="9.9499999999999993" customHeight="1" x14ac:dyDescent="0.25">
      <c r="B6" s="64"/>
      <c r="G6" s="6"/>
    </row>
    <row r="7" spans="2:21" ht="26.25" customHeight="1" x14ac:dyDescent="0.25">
      <c r="B7" s="64"/>
      <c r="C7" s="17" t="s">
        <v>0</v>
      </c>
      <c r="D7" s="7"/>
      <c r="E7" s="8" t="s">
        <v>1</v>
      </c>
      <c r="F7" s="5"/>
      <c r="G7" s="8" t="s">
        <v>2</v>
      </c>
      <c r="H7" s="8" t="s">
        <v>3</v>
      </c>
      <c r="I7" s="8" t="s">
        <v>8</v>
      </c>
      <c r="O7" s="16"/>
      <c r="P7" s="16"/>
      <c r="Q7" s="16"/>
      <c r="R7" s="16"/>
      <c r="S7" s="16"/>
      <c r="T7" s="16"/>
      <c r="U7" s="16"/>
    </row>
    <row r="8" spans="2:21" ht="26.25" x14ac:dyDescent="0.25">
      <c r="B8" s="64"/>
      <c r="C8" s="65"/>
      <c r="D8" s="66"/>
      <c r="E8" s="52"/>
      <c r="F8" s="39"/>
      <c r="G8" s="53"/>
      <c r="H8" s="27"/>
      <c r="I8" s="46"/>
      <c r="O8" s="11"/>
      <c r="P8" s="11"/>
      <c r="Q8" s="11"/>
      <c r="R8" s="11"/>
      <c r="S8" s="11"/>
      <c r="T8" s="11"/>
      <c r="U8" s="11"/>
    </row>
    <row r="9" spans="2:21" ht="9.9499999999999993" customHeight="1" x14ac:dyDescent="0.25">
      <c r="B9" s="11"/>
      <c r="C9" s="11"/>
      <c r="D9" s="11"/>
      <c r="E9" s="12"/>
      <c r="F9" s="12"/>
      <c r="G9" s="9"/>
      <c r="H9" s="13"/>
      <c r="I9" s="13"/>
      <c r="J9" s="11"/>
      <c r="O9" s="11"/>
      <c r="P9" s="11"/>
      <c r="Q9" s="11"/>
      <c r="R9" s="11"/>
      <c r="S9" s="11"/>
      <c r="T9" s="11"/>
      <c r="U9" s="11"/>
    </row>
    <row r="10" spans="2:21" ht="26.25" customHeight="1" x14ac:dyDescent="0.25">
      <c r="B10" s="31"/>
      <c r="C10" s="8" t="s">
        <v>6</v>
      </c>
      <c r="D10" s="2"/>
      <c r="E10" s="4" t="s">
        <v>19</v>
      </c>
      <c r="F10" s="19"/>
      <c r="G10" s="19"/>
      <c r="H10" s="8" t="s">
        <v>11</v>
      </c>
      <c r="I10" s="8" t="s">
        <v>10</v>
      </c>
      <c r="J10" s="11"/>
      <c r="Q10" s="11"/>
      <c r="R10" s="11"/>
      <c r="S10" s="11"/>
      <c r="T10" s="11"/>
      <c r="U10" s="11"/>
    </row>
    <row r="11" spans="2:21" ht="26.25" customHeight="1" x14ac:dyDescent="0.25">
      <c r="C11" s="60"/>
      <c r="D11" s="61"/>
      <c r="E11" s="60"/>
      <c r="F11" s="67"/>
      <c r="G11" s="61"/>
      <c r="H11" s="27"/>
      <c r="I11" s="28"/>
      <c r="J11" s="11"/>
      <c r="Q11" s="11"/>
      <c r="R11" s="11"/>
      <c r="S11" s="11"/>
      <c r="T11" s="11"/>
      <c r="U11" s="11"/>
    </row>
    <row r="12" spans="2:21" ht="9.9499999999999993" customHeight="1" x14ac:dyDescent="0.25">
      <c r="B12" s="11"/>
      <c r="C12" s="11"/>
      <c r="D12" s="11"/>
      <c r="E12" s="12"/>
      <c r="F12" s="12"/>
      <c r="G12" s="9"/>
      <c r="H12" s="13"/>
      <c r="I12" s="13"/>
      <c r="J12" s="11"/>
      <c r="K12" s="11"/>
      <c r="L12" s="11"/>
      <c r="M12" s="11"/>
      <c r="N12" s="11"/>
      <c r="O12" s="11"/>
      <c r="P12" s="11"/>
      <c r="Q12" s="11"/>
    </row>
    <row r="13" spans="2:21" ht="26.25" customHeight="1" x14ac:dyDescent="0.25">
      <c r="B13" s="11"/>
      <c r="C13" s="8" t="s">
        <v>34</v>
      </c>
      <c r="D13" s="2"/>
      <c r="E13" s="4" t="s">
        <v>37</v>
      </c>
      <c r="F13" s="19"/>
      <c r="G13" s="4" t="s">
        <v>36</v>
      </c>
      <c r="H13" s="4" t="s">
        <v>35</v>
      </c>
      <c r="I13" s="19"/>
      <c r="J13" s="11"/>
      <c r="K13" s="11"/>
      <c r="L13" s="11"/>
      <c r="M13" s="11"/>
      <c r="N13" s="11"/>
      <c r="O13" s="11"/>
      <c r="P13" s="11"/>
      <c r="Q13" s="11"/>
    </row>
    <row r="14" spans="2:21" ht="26.25" customHeight="1" x14ac:dyDescent="0.25">
      <c r="B14" s="11"/>
      <c r="C14" s="60"/>
      <c r="D14" s="61"/>
      <c r="E14" s="54"/>
      <c r="F14" s="50"/>
      <c r="G14" s="55"/>
      <c r="H14" s="62"/>
      <c r="I14" s="63"/>
      <c r="J14" s="11"/>
      <c r="K14" s="11"/>
      <c r="L14" s="11"/>
      <c r="M14" s="11"/>
      <c r="N14" s="11"/>
      <c r="O14" s="11"/>
      <c r="P14" s="11"/>
      <c r="Q14" s="11"/>
    </row>
    <row r="15" spans="2:21" ht="9.9499999999999993" customHeight="1" x14ac:dyDescent="0.25">
      <c r="B15" s="11"/>
      <c r="C15" s="11"/>
      <c r="D15" s="11"/>
      <c r="E15" s="12"/>
      <c r="F15" s="12"/>
      <c r="G15" s="9"/>
      <c r="H15" s="13"/>
      <c r="I15" s="13"/>
      <c r="J15" s="11"/>
      <c r="K15" s="11"/>
      <c r="L15" s="11"/>
      <c r="M15" s="11"/>
      <c r="N15" s="11"/>
      <c r="O15" s="11"/>
      <c r="P15" s="11"/>
      <c r="Q15" s="11"/>
    </row>
    <row r="16" spans="2:21" ht="51" customHeight="1" x14ac:dyDescent="0.25">
      <c r="B16" s="41" t="s">
        <v>12</v>
      </c>
      <c r="C16" s="21" t="s">
        <v>20</v>
      </c>
      <c r="D16" s="20" t="s">
        <v>13</v>
      </c>
      <c r="E16" s="30" t="s">
        <v>30</v>
      </c>
      <c r="F16" s="30" t="s">
        <v>26</v>
      </c>
      <c r="G16" s="9"/>
      <c r="H16" s="20" t="s">
        <v>24</v>
      </c>
      <c r="I16" s="20" t="s">
        <v>15</v>
      </c>
      <c r="J16" s="29" t="s">
        <v>16</v>
      </c>
      <c r="K16" s="21" t="s">
        <v>27</v>
      </c>
      <c r="L16" s="11"/>
      <c r="M16" s="11"/>
      <c r="N16" s="11"/>
      <c r="O16" s="11"/>
      <c r="P16" s="11"/>
      <c r="Q16" s="11"/>
    </row>
    <row r="17" spans="2:17" ht="50.1" customHeight="1" x14ac:dyDescent="0.25">
      <c r="B17" s="42"/>
      <c r="C17" s="49"/>
      <c r="D17" s="42"/>
      <c r="E17" s="49"/>
      <c r="F17" s="13">
        <f>COD[COD]</f>
        <v>0</v>
      </c>
      <c r="H17" s="23"/>
      <c r="I17" s="56"/>
      <c r="J17" s="58">
        <f>$M$17</f>
        <v>0</v>
      </c>
      <c r="K17" s="58">
        <f>COD[COD]</f>
        <v>0</v>
      </c>
      <c r="L17" s="11"/>
      <c r="M17" s="40">
        <f>IF($H17 &lt;&gt; "",VENDA[VENDA],)</f>
        <v>0</v>
      </c>
      <c r="N17" s="40">
        <f>COD[COD]</f>
        <v>0</v>
      </c>
      <c r="O17" s="40">
        <f>COD[COD]</f>
        <v>0</v>
      </c>
      <c r="P17" s="11"/>
      <c r="Q17" s="11"/>
    </row>
    <row r="18" spans="2:17" ht="50.1" customHeight="1" x14ac:dyDescent="0.25">
      <c r="G18" s="6"/>
    </row>
    <row r="19" spans="2:17" ht="50.1" customHeight="1" x14ac:dyDescent="0.25">
      <c r="G19" s="6"/>
    </row>
  </sheetData>
  <mergeCells count="7">
    <mergeCell ref="C14:D14"/>
    <mergeCell ref="H14:I14"/>
    <mergeCell ref="B4:B8"/>
    <mergeCell ref="C5:D5"/>
    <mergeCell ref="C8:D8"/>
    <mergeCell ref="C11:D11"/>
    <mergeCell ref="E11:G11"/>
  </mergeCells>
  <dataValidations count="2">
    <dataValidation type="list" allowBlank="1" showInputMessage="1" showErrorMessage="1" sqref="H11" xr:uid="{F1B11274-C5C7-47E7-A81D-D92520720328}">
      <formula1>INDIRECT("RETORNO")</formula1>
    </dataValidation>
    <dataValidation type="list" allowBlank="1" showInputMessage="1" showErrorMessage="1" sqref="I11" xr:uid="{D2942D08-AA2A-41AB-AD66-635DEFBBBA63}">
      <formula1>INDIRECT("PENDENCIA")</formula1>
    </dataValidation>
  </dataValidations>
  <pageMargins left="0.511811024" right="0.511811024" top="0.78740157499999996" bottom="0.78740157499999996" header="0.31496062000000002" footer="0.31496062000000002"/>
  <pageSetup paperSize="9" scale="30" orientation="portrait" horizontalDpi="0" verticalDpi="0" copies="4" r:id="rId1"/>
  <colBreaks count="1" manualBreakCount="1">
    <brk id="9" max="14" man="1"/>
  </colBreaks>
  <drawing r:id="rId2"/>
  <legacyDrawing r:id="rId3"/>
  <controls>
    <mc:AlternateContent xmlns:mc="http://schemas.openxmlformats.org/markup-compatibility/2006">
      <mc:Choice Requires="x14">
        <control shapeId="3073" r:id="rId4" name="fotoArquiteto">
          <controlPr defaultSize="0" autoLine="0" r:id="rId5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1</xdr:col>
                <xdr:colOff>1276350</xdr:colOff>
                <xdr:row>8</xdr:row>
                <xdr:rowOff>9525</xdr:rowOff>
              </to>
            </anchor>
          </controlPr>
        </control>
      </mc:Choice>
      <mc:Fallback>
        <control shapeId="3073" r:id="rId4" name="fotoArquiteto"/>
      </mc:Fallback>
    </mc:AlternateContent>
  </controls>
  <tableParts count="2"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CONFIGURACOES</vt:lpstr>
      <vt:lpstr>MENU PRINCIPAL</vt:lpstr>
      <vt:lpstr>ARQUITETO</vt:lpstr>
      <vt:lpstr>ARQUITETO!Area_de_impressao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 DO GRANITO</dc:creator>
  <cp:lastModifiedBy>casa</cp:lastModifiedBy>
  <cp:lastPrinted>2023-01-10T19:30:07Z</cp:lastPrinted>
  <dcterms:created xsi:type="dcterms:W3CDTF">2022-03-08T16:44:04Z</dcterms:created>
  <dcterms:modified xsi:type="dcterms:W3CDTF">2024-08-30T16:58:34Z</dcterms:modified>
</cp:coreProperties>
</file>